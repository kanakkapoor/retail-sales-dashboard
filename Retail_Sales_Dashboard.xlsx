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anany\Downloads\"/>
    </mc:Choice>
  </mc:AlternateContent>
  <xr:revisionPtr revIDLastSave="0" documentId="8_{6032EAFC-5733-49E6-A07A-0AB8F7803A37}" xr6:coauthVersionLast="47" xr6:coauthVersionMax="47" xr10:uidLastSave="{00000000-0000-0000-0000-000000000000}"/>
  <bookViews>
    <workbookView xWindow="-110" yWindow="-110" windowWidth="19420" windowHeight="11500" activeTab="3" xr2:uid="{5299B820-094E-7248-BFED-AF0E70E67665}"/>
  </bookViews>
  <sheets>
    <sheet name="retail_sales_raw" sheetId="3" r:id="rId1"/>
    <sheet name="Dataset" sheetId="4" r:id="rId2"/>
    <sheet name="Pivot Table" sheetId="6" r:id="rId3"/>
    <sheet name="Dashboard" sheetId="5" r:id="rId4"/>
  </sheets>
  <definedNames>
    <definedName name="avg_basket_size">'Pivot Table'!$C$93</definedName>
    <definedName name="DışVeri_1" localSheetId="1" hidden="1">Dataset!$A$1:$I$1001</definedName>
    <definedName name="DışVeri_1" localSheetId="0" hidden="1">retail_sales_raw!$A$1:$I$1001</definedName>
    <definedName name="retail_sales_raw_dataset">retail_sales_dataset_raw[]</definedName>
    <definedName name="retail_sales_raw_table">retail_sales_dataset_raw[]</definedName>
    <definedName name="Slicer_Age_Groups">#N/A</definedName>
    <definedName name="Slicer_Gender">#N/A</definedName>
    <definedName name="Slicer_Product_Category">#N/A</definedName>
    <definedName name="Slicer_Season">#N/A</definedName>
    <definedName name="top_category">'Pivot Table'!$C$94</definedName>
    <definedName name="total_sales">'Pivot Table'!$C$91</definedName>
    <definedName name="total_transactions">'Pivot Table'!$C$92</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94" i="6" l="1"/>
  <c r="K2" i="4" a="1"/>
  <c r="K2" i="4" s="1"/>
  <c r="K3" i="4" a="1"/>
  <c r="K3" i="4" s="1"/>
  <c r="K4" i="4" a="1"/>
  <c r="K4" i="4"/>
  <c r="K5" i="4" a="1"/>
  <c r="K5" i="4" s="1"/>
  <c r="K6" i="4" a="1"/>
  <c r="K6" i="4" s="1"/>
  <c r="K7" i="4" a="1"/>
  <c r="K7" i="4" s="1"/>
  <c r="K8" i="4" a="1"/>
  <c r="K8" i="4" s="1"/>
  <c r="K9" i="4" a="1"/>
  <c r="K9" i="4"/>
  <c r="K10" i="4" a="1"/>
  <c r="K10" i="4" s="1"/>
  <c r="K11" i="4" a="1"/>
  <c r="K11" i="4" s="1"/>
  <c r="K12" i="4" a="1"/>
  <c r="K12" i="4" s="1"/>
  <c r="K13" i="4" a="1"/>
  <c r="K13" i="4" s="1"/>
  <c r="K14" i="4" a="1"/>
  <c r="K14" i="4" s="1"/>
  <c r="K15" i="4" a="1"/>
  <c r="K15" i="4" s="1"/>
  <c r="K16" i="4" a="1"/>
  <c r="K16" i="4" s="1"/>
  <c r="K17" i="4" a="1"/>
  <c r="K17" i="4" s="1"/>
  <c r="K18" i="4" a="1"/>
  <c r="K18" i="4" s="1"/>
  <c r="K19" i="4" a="1"/>
  <c r="K19" i="4"/>
  <c r="K20" i="4" a="1"/>
  <c r="K20" i="4"/>
  <c r="K21" i="4" a="1"/>
  <c r="K21" i="4" s="1"/>
  <c r="K22" i="4" a="1"/>
  <c r="K22" i="4" s="1"/>
  <c r="K23" i="4" a="1"/>
  <c r="K23" i="4"/>
  <c r="K24" i="4" a="1"/>
  <c r="K24" i="4" s="1"/>
  <c r="K25" i="4" a="1"/>
  <c r="K25" i="4" s="1"/>
  <c r="K26" i="4" a="1"/>
  <c r="K26" i="4" s="1"/>
  <c r="K27" i="4" a="1"/>
  <c r="K27" i="4" s="1"/>
  <c r="K28" i="4" a="1"/>
  <c r="K28" i="4"/>
  <c r="K29" i="4" a="1"/>
  <c r="K29" i="4"/>
  <c r="K30" i="4" a="1"/>
  <c r="K30" i="4" s="1"/>
  <c r="K31" i="4" a="1"/>
  <c r="K31" i="4" s="1"/>
  <c r="K32" i="4" a="1"/>
  <c r="K32" i="4"/>
  <c r="K33" i="4" a="1"/>
  <c r="K33" i="4" s="1"/>
  <c r="K34" i="4" a="1"/>
  <c r="K34" i="4" s="1"/>
  <c r="K35" i="4" a="1"/>
  <c r="K35" i="4" s="1"/>
  <c r="K36" i="4" a="1"/>
  <c r="K36" i="4" s="1"/>
  <c r="K37" i="4" a="1"/>
  <c r="K37" i="4"/>
  <c r="K38" i="4" a="1"/>
  <c r="K38" i="4" s="1"/>
  <c r="K39" i="4" a="1"/>
  <c r="K39" i="4" s="1"/>
  <c r="K40" i="4" a="1"/>
  <c r="K40" i="4" s="1"/>
  <c r="K41" i="4" a="1"/>
  <c r="K41" i="4"/>
  <c r="K42" i="4" a="1"/>
  <c r="K42" i="4" s="1"/>
  <c r="K43" i="4" a="1"/>
  <c r="K43" i="4"/>
  <c r="K44" i="4" a="1"/>
  <c r="K44" i="4" s="1"/>
  <c r="K45" i="4" a="1"/>
  <c r="K45" i="4" s="1"/>
  <c r="K46" i="4" a="1"/>
  <c r="K46" i="4" s="1"/>
  <c r="K47" i="4" a="1"/>
  <c r="K47" i="4" s="1"/>
  <c r="K48" i="4" a="1"/>
  <c r="K48" i="4" s="1"/>
  <c r="K49" i="4" a="1"/>
  <c r="K49" i="4" s="1"/>
  <c r="K50" i="4" a="1"/>
  <c r="K50" i="4" s="1"/>
  <c r="K51" i="4" a="1"/>
  <c r="K51" i="4"/>
  <c r="K52" i="4" a="1"/>
  <c r="K52" i="4"/>
  <c r="K53" i="4" a="1"/>
  <c r="K53" i="4" s="1"/>
  <c r="K54" i="4" a="1"/>
  <c r="K54" i="4" s="1"/>
  <c r="K55" i="4" a="1"/>
  <c r="K55" i="4"/>
  <c r="K56" i="4" a="1"/>
  <c r="K56" i="4" s="1"/>
  <c r="K57" i="4" a="1"/>
  <c r="K57" i="4" s="1"/>
  <c r="K58" i="4" a="1"/>
  <c r="K58" i="4" s="1"/>
  <c r="K59" i="4" a="1"/>
  <c r="K59" i="4" s="1"/>
  <c r="K60" i="4" a="1"/>
  <c r="K60" i="4"/>
  <c r="K61" i="4" a="1"/>
  <c r="K61" i="4"/>
  <c r="K62" i="4" a="1"/>
  <c r="K62" i="4" s="1"/>
  <c r="K63" i="4" a="1"/>
  <c r="K63" i="4" s="1"/>
  <c r="K64" i="4" a="1"/>
  <c r="K64" i="4"/>
  <c r="K65" i="4" a="1"/>
  <c r="K65" i="4" s="1"/>
  <c r="K66" i="4" a="1"/>
  <c r="K66" i="4" s="1"/>
  <c r="K67" i="4" a="1"/>
  <c r="K67" i="4" s="1"/>
  <c r="K68" i="4" a="1"/>
  <c r="K68" i="4" s="1"/>
  <c r="K69" i="4" a="1"/>
  <c r="K69" i="4"/>
  <c r="K70" i="4" a="1"/>
  <c r="K70" i="4" s="1"/>
  <c r="K71" i="4" a="1"/>
  <c r="K71" i="4" s="1"/>
  <c r="K72" i="4" a="1"/>
  <c r="K72" i="4" s="1"/>
  <c r="K73" i="4" a="1"/>
  <c r="K73" i="4"/>
  <c r="K74" i="4" a="1"/>
  <c r="K74" i="4" s="1"/>
  <c r="K75" i="4" a="1"/>
  <c r="K75" i="4"/>
  <c r="K76" i="4" a="1"/>
  <c r="K76" i="4" s="1"/>
  <c r="K77" i="4" a="1"/>
  <c r="K77" i="4" s="1"/>
  <c r="K78" i="4" a="1"/>
  <c r="K78" i="4" s="1"/>
  <c r="K79" i="4" a="1"/>
  <c r="K79" i="4" s="1"/>
  <c r="K80" i="4" a="1"/>
  <c r="K80" i="4" s="1"/>
  <c r="K81" i="4" a="1"/>
  <c r="K81" i="4" s="1"/>
  <c r="K82" i="4" a="1"/>
  <c r="K82" i="4" s="1"/>
  <c r="K83" i="4" a="1"/>
  <c r="K83" i="4"/>
  <c r="K84" i="4" a="1"/>
  <c r="K84" i="4" s="1"/>
  <c r="K85" i="4" a="1"/>
  <c r="K85" i="4" s="1"/>
  <c r="K86" i="4" a="1"/>
  <c r="K86" i="4" s="1"/>
  <c r="K87" i="4" a="1"/>
  <c r="K87" i="4"/>
  <c r="K88" i="4" a="1"/>
  <c r="K88" i="4" s="1"/>
  <c r="K89" i="4" a="1"/>
  <c r="K89" i="4" s="1"/>
  <c r="K90" i="4" a="1"/>
  <c r="K90" i="4" s="1"/>
  <c r="K91" i="4" a="1"/>
  <c r="K91" i="4" s="1"/>
  <c r="K92" i="4" a="1"/>
  <c r="K92" i="4"/>
  <c r="K93" i="4" a="1"/>
  <c r="K93" i="4" s="1"/>
  <c r="K94" i="4" a="1"/>
  <c r="K94" i="4" s="1"/>
  <c r="K95" i="4" a="1"/>
  <c r="K95" i="4" s="1"/>
  <c r="K96" i="4" a="1"/>
  <c r="K96" i="4"/>
  <c r="K97" i="4" a="1"/>
  <c r="K97" i="4" s="1"/>
  <c r="K98" i="4" a="1"/>
  <c r="K98" i="4" s="1"/>
  <c r="K99" i="4" a="1"/>
  <c r="K99" i="4" s="1"/>
  <c r="K100" i="4" a="1"/>
  <c r="K100" i="4" s="1"/>
  <c r="K101" i="4" a="1"/>
  <c r="K101" i="4"/>
  <c r="K102" i="4" a="1"/>
  <c r="K102" i="4" s="1"/>
  <c r="K103" i="4" a="1"/>
  <c r="K103" i="4" s="1"/>
  <c r="K104" i="4" a="1"/>
  <c r="K104" i="4" s="1"/>
  <c r="K105" i="4" a="1"/>
  <c r="K105" i="4"/>
  <c r="K106" i="4" a="1"/>
  <c r="K106" i="4" s="1"/>
  <c r="K107" i="4" a="1"/>
  <c r="K107" i="4" s="1"/>
  <c r="K108" i="4" a="1"/>
  <c r="K108" i="4" s="1"/>
  <c r="K109" i="4" a="1"/>
  <c r="K109" i="4" s="1"/>
  <c r="K110" i="4" a="1"/>
  <c r="K110" i="4" s="1"/>
  <c r="K111" i="4" a="1"/>
  <c r="K111" i="4" s="1"/>
  <c r="K112" i="4" a="1"/>
  <c r="K112" i="4" s="1"/>
  <c r="K113" i="4" a="1"/>
  <c r="K113" i="4" s="1"/>
  <c r="K114" i="4" a="1"/>
  <c r="K114" i="4" s="1"/>
  <c r="K115" i="4" a="1"/>
  <c r="K115" i="4"/>
  <c r="K116" i="4" a="1"/>
  <c r="K116" i="4" s="1"/>
  <c r="K117" i="4" a="1"/>
  <c r="K117" i="4" s="1"/>
  <c r="K118" i="4" a="1"/>
  <c r="K118" i="4" s="1"/>
  <c r="K119" i="4" a="1"/>
  <c r="K119" i="4"/>
  <c r="K120" i="4" a="1"/>
  <c r="K120" i="4" s="1"/>
  <c r="K121" i="4" a="1"/>
  <c r="K121" i="4" s="1"/>
  <c r="K122" i="4" a="1"/>
  <c r="K122" i="4" s="1"/>
  <c r="K123" i="4" a="1"/>
  <c r="K123" i="4" s="1"/>
  <c r="K124" i="4" a="1"/>
  <c r="K124" i="4"/>
  <c r="K125" i="4" a="1"/>
  <c r="K125" i="4" s="1"/>
  <c r="K126" i="4" a="1"/>
  <c r="K126" i="4" s="1"/>
  <c r="K127" i="4" a="1"/>
  <c r="K127" i="4" s="1"/>
  <c r="K128" i="4" a="1"/>
  <c r="K128" i="4"/>
  <c r="K129" i="4" a="1"/>
  <c r="K129" i="4" s="1"/>
  <c r="K130" i="4" a="1"/>
  <c r="K130" i="4" s="1"/>
  <c r="K131" i="4" a="1"/>
  <c r="K131" i="4" s="1"/>
  <c r="K132" i="4" a="1"/>
  <c r="K132" i="4" s="1"/>
  <c r="K133" i="4" a="1"/>
  <c r="K133" i="4"/>
  <c r="K134" i="4" a="1"/>
  <c r="K134" i="4" s="1"/>
  <c r="K135" i="4" a="1"/>
  <c r="K135" i="4" s="1"/>
  <c r="K136" i="4" a="1"/>
  <c r="K136" i="4" s="1"/>
  <c r="K137" i="4" a="1"/>
  <c r="K137" i="4"/>
  <c r="K138" i="4" a="1"/>
  <c r="K138" i="4" s="1"/>
  <c r="K139" i="4" a="1"/>
  <c r="K139" i="4" s="1"/>
  <c r="K140" i="4" a="1"/>
  <c r="K140" i="4" s="1"/>
  <c r="K141" i="4" a="1"/>
  <c r="K141" i="4" s="1"/>
  <c r="K142" i="4" a="1"/>
  <c r="K142" i="4" s="1"/>
  <c r="K143" i="4" a="1"/>
  <c r="K143" i="4" s="1"/>
  <c r="K144" i="4" a="1"/>
  <c r="K144" i="4" s="1"/>
  <c r="K145" i="4" a="1"/>
  <c r="K145" i="4" s="1"/>
  <c r="K146" i="4" a="1"/>
  <c r="K146" i="4" s="1"/>
  <c r="K147" i="4" a="1"/>
  <c r="K147" i="4"/>
  <c r="K148" i="4" a="1"/>
  <c r="K148" i="4" s="1"/>
  <c r="K149" i="4" a="1"/>
  <c r="K149" i="4" s="1"/>
  <c r="K150" i="4" a="1"/>
  <c r="K150" i="4" s="1"/>
  <c r="K151" i="4" a="1"/>
  <c r="K151" i="4"/>
  <c r="K152" i="4" a="1"/>
  <c r="K152" i="4" s="1"/>
  <c r="K153" i="4" a="1"/>
  <c r="K153" i="4" s="1"/>
  <c r="K154" i="4" a="1"/>
  <c r="K154" i="4" s="1"/>
  <c r="K155" i="4" a="1"/>
  <c r="K155" i="4" s="1"/>
  <c r="K156" i="4" a="1"/>
  <c r="K156" i="4"/>
  <c r="K157" i="4" a="1"/>
  <c r="K157" i="4" s="1"/>
  <c r="K158" i="4" a="1"/>
  <c r="K158" i="4" s="1"/>
  <c r="K159" i="4" a="1"/>
  <c r="K159" i="4" s="1"/>
  <c r="K160" i="4" a="1"/>
  <c r="K160" i="4"/>
  <c r="K161" i="4" a="1"/>
  <c r="K161" i="4" s="1"/>
  <c r="K162" i="4" a="1"/>
  <c r="K162" i="4" s="1"/>
  <c r="K163" i="4" a="1"/>
  <c r="K163" i="4" s="1"/>
  <c r="K164" i="4" a="1"/>
  <c r="K164" i="4" s="1"/>
  <c r="K165" i="4" a="1"/>
  <c r="K165" i="4"/>
  <c r="K166" i="4" a="1"/>
  <c r="K166" i="4" s="1"/>
  <c r="K167" i="4" a="1"/>
  <c r="K167" i="4" s="1"/>
  <c r="K168" i="4" a="1"/>
  <c r="K168" i="4" s="1"/>
  <c r="K169" i="4" a="1"/>
  <c r="K169" i="4"/>
  <c r="K170" i="4" a="1"/>
  <c r="K170" i="4" s="1"/>
  <c r="K171" i="4" a="1"/>
  <c r="K171" i="4" s="1"/>
  <c r="K172" i="4" a="1"/>
  <c r="K172" i="4" s="1"/>
  <c r="K173" i="4" a="1"/>
  <c r="K173" i="4" s="1"/>
  <c r="K174" i="4" a="1"/>
  <c r="K174" i="4" s="1"/>
  <c r="K175" i="4" a="1"/>
  <c r="K175" i="4" s="1"/>
  <c r="K176" i="4" a="1"/>
  <c r="K176" i="4" s="1"/>
  <c r="K177" i="4" a="1"/>
  <c r="K177" i="4" s="1"/>
  <c r="K178" i="4" a="1"/>
  <c r="K178" i="4" s="1"/>
  <c r="K179" i="4" a="1"/>
  <c r="K179" i="4"/>
  <c r="K180" i="4" a="1"/>
  <c r="K180" i="4" s="1"/>
  <c r="K181" i="4" a="1"/>
  <c r="K181" i="4" s="1"/>
  <c r="K182" i="4" a="1"/>
  <c r="K182" i="4" s="1"/>
  <c r="K183" i="4" a="1"/>
  <c r="K183" i="4"/>
  <c r="K184" i="4" a="1"/>
  <c r="K184" i="4" s="1"/>
  <c r="K185" i="4" a="1"/>
  <c r="K185" i="4" s="1"/>
  <c r="K186" i="4" a="1"/>
  <c r="K186" i="4" s="1"/>
  <c r="K187" i="4" a="1"/>
  <c r="K187" i="4" s="1"/>
  <c r="K188" i="4" a="1"/>
  <c r="K188" i="4"/>
  <c r="K189" i="4" a="1"/>
  <c r="K189" i="4" s="1"/>
  <c r="K190" i="4" a="1"/>
  <c r="K190" i="4" s="1"/>
  <c r="K191" i="4" a="1"/>
  <c r="K191" i="4" s="1"/>
  <c r="K192" i="4" a="1"/>
  <c r="K192" i="4"/>
  <c r="K193" i="4" a="1"/>
  <c r="K193" i="4" s="1"/>
  <c r="K194" i="4" a="1"/>
  <c r="K194" i="4" s="1"/>
  <c r="K195" i="4" a="1"/>
  <c r="K195" i="4" s="1"/>
  <c r="K196" i="4" a="1"/>
  <c r="K196" i="4" s="1"/>
  <c r="K197" i="4" a="1"/>
  <c r="K197" i="4"/>
  <c r="K198" i="4" a="1"/>
  <c r="K198" i="4" s="1"/>
  <c r="K199" i="4" a="1"/>
  <c r="K199" i="4" s="1"/>
  <c r="K200" i="4" a="1"/>
  <c r="K200" i="4" s="1"/>
  <c r="K201" i="4" a="1"/>
  <c r="K201" i="4"/>
  <c r="K202" i="4" a="1"/>
  <c r="K202" i="4" s="1"/>
  <c r="K203" i="4" a="1"/>
  <c r="K203" i="4" s="1"/>
  <c r="K204" i="4" a="1"/>
  <c r="K204" i="4" s="1"/>
  <c r="K205" i="4" a="1"/>
  <c r="K205" i="4" s="1"/>
  <c r="K206" i="4" a="1"/>
  <c r="K206" i="4" s="1"/>
  <c r="K207" i="4" a="1"/>
  <c r="K207" i="4" s="1"/>
  <c r="K208" i="4" a="1"/>
  <c r="K208" i="4" s="1"/>
  <c r="K209" i="4" a="1"/>
  <c r="K209" i="4" s="1"/>
  <c r="K210" i="4" a="1"/>
  <c r="K210" i="4" s="1"/>
  <c r="K211" i="4" a="1"/>
  <c r="K211" i="4"/>
  <c r="K212" i="4" a="1"/>
  <c r="K212" i="4" s="1"/>
  <c r="K213" i="4" a="1"/>
  <c r="K213" i="4" s="1"/>
  <c r="K214" i="4" a="1"/>
  <c r="K214" i="4" s="1"/>
  <c r="K215" i="4" a="1"/>
  <c r="K215" i="4"/>
  <c r="K216" i="4" a="1"/>
  <c r="K216" i="4" s="1"/>
  <c r="K217" i="4" a="1"/>
  <c r="K217" i="4" s="1"/>
  <c r="K218" i="4" a="1"/>
  <c r="K218" i="4" s="1"/>
  <c r="K219" i="4" a="1"/>
  <c r="K219" i="4" s="1"/>
  <c r="K220" i="4" a="1"/>
  <c r="K220" i="4"/>
  <c r="K221" i="4" a="1"/>
  <c r="K221" i="4" s="1"/>
  <c r="K222" i="4" a="1"/>
  <c r="K222" i="4" s="1"/>
  <c r="K223" i="4" a="1"/>
  <c r="K223" i="4" s="1"/>
  <c r="K224" i="4" a="1"/>
  <c r="K224" i="4"/>
  <c r="K225" i="4" a="1"/>
  <c r="K225" i="4" s="1"/>
  <c r="K226" i="4" a="1"/>
  <c r="K226" i="4" s="1"/>
  <c r="K227" i="4" a="1"/>
  <c r="K227" i="4" s="1"/>
  <c r="K228" i="4" a="1"/>
  <c r="K228" i="4" s="1"/>
  <c r="K229" i="4" a="1"/>
  <c r="K229" i="4"/>
  <c r="K230" i="4" a="1"/>
  <c r="K230" i="4" s="1"/>
  <c r="K231" i="4" a="1"/>
  <c r="K231" i="4" s="1"/>
  <c r="K232" i="4" a="1"/>
  <c r="K232" i="4" s="1"/>
  <c r="K233" i="4" a="1"/>
  <c r="K233" i="4"/>
  <c r="K234" i="4" a="1"/>
  <c r="K234" i="4" s="1"/>
  <c r="K235" i="4" a="1"/>
  <c r="K235" i="4"/>
  <c r="K236" i="4" a="1"/>
  <c r="K236" i="4" s="1"/>
  <c r="K237" i="4" a="1"/>
  <c r="K237" i="4" s="1"/>
  <c r="K238" i="4" a="1"/>
  <c r="K238" i="4" s="1"/>
  <c r="K239" i="4" a="1"/>
  <c r="K239" i="4" s="1"/>
  <c r="K240" i="4" a="1"/>
  <c r="K240" i="4"/>
  <c r="K241" i="4" a="1"/>
  <c r="K241" i="4" s="1"/>
  <c r="K242" i="4" a="1"/>
  <c r="K242" i="4" s="1"/>
  <c r="K243" i="4" a="1"/>
  <c r="K243" i="4"/>
  <c r="K244" i="4" a="1"/>
  <c r="K244" i="4" s="1"/>
  <c r="K245" i="4" a="1"/>
  <c r="K245" i="4" s="1"/>
  <c r="K246" i="4" a="1"/>
  <c r="K246" i="4" s="1"/>
  <c r="K247" i="4" a="1"/>
  <c r="K247" i="4"/>
  <c r="K248" i="4" a="1"/>
  <c r="K248" i="4" s="1"/>
  <c r="K249" i="4" a="1"/>
  <c r="K249" i="4" s="1"/>
  <c r="K250" i="4" a="1"/>
  <c r="K250" i="4" s="1"/>
  <c r="K251" i="4" a="1"/>
  <c r="K251" i="4" s="1"/>
  <c r="K252" i="4" a="1"/>
  <c r="K252" i="4"/>
  <c r="K253" i="4" a="1"/>
  <c r="K253" i="4" s="1"/>
  <c r="K254" i="4" a="1"/>
  <c r="K254" i="4" s="1"/>
  <c r="K255" i="4" a="1"/>
  <c r="K255" i="4" s="1"/>
  <c r="K256" i="4" a="1"/>
  <c r="K256" i="4"/>
  <c r="K257" i="4" a="1"/>
  <c r="K257" i="4" s="1"/>
  <c r="K258" i="4" a="1"/>
  <c r="K258" i="4" s="1"/>
  <c r="K259" i="4" a="1"/>
  <c r="K259" i="4" s="1"/>
  <c r="K260" i="4" a="1"/>
  <c r="K260" i="4" s="1"/>
  <c r="K261" i="4" a="1"/>
  <c r="K261" i="4"/>
  <c r="K262" i="4" a="1"/>
  <c r="K262" i="4" s="1"/>
  <c r="K263" i="4" a="1"/>
  <c r="K263" i="4" s="1"/>
  <c r="K264" i="4" a="1"/>
  <c r="K264" i="4" s="1"/>
  <c r="K265" i="4" a="1"/>
  <c r="K265" i="4"/>
  <c r="K266" i="4" a="1"/>
  <c r="K266" i="4" s="1"/>
  <c r="K267" i="4" a="1"/>
  <c r="K267" i="4"/>
  <c r="K268" i="4" a="1"/>
  <c r="K268" i="4" s="1"/>
  <c r="K269" i="4" a="1"/>
  <c r="K269" i="4" s="1"/>
  <c r="K270" i="4" a="1"/>
  <c r="K270" i="4" s="1"/>
  <c r="K271" i="4" a="1"/>
  <c r="K271" i="4"/>
  <c r="K272" i="4" a="1"/>
  <c r="K272" i="4"/>
  <c r="K273" i="4" a="1"/>
  <c r="K273" i="4" s="1"/>
  <c r="K274" i="4" a="1"/>
  <c r="K274" i="4" s="1"/>
  <c r="K275" i="4" a="1"/>
  <c r="K275" i="4"/>
  <c r="K276" i="4" a="1"/>
  <c r="K276" i="4" s="1"/>
  <c r="K277" i="4" a="1"/>
  <c r="K277" i="4" s="1"/>
  <c r="K278" i="4" a="1"/>
  <c r="K278" i="4" s="1"/>
  <c r="K279" i="4" a="1"/>
  <c r="K279" i="4"/>
  <c r="K280" i="4" a="1"/>
  <c r="K280" i="4"/>
  <c r="K281" i="4" a="1"/>
  <c r="K281" i="4" s="1"/>
  <c r="K282" i="4" a="1"/>
  <c r="K282" i="4" s="1"/>
  <c r="K283" i="4" a="1"/>
  <c r="K283" i="4" s="1"/>
  <c r="K284" i="4" a="1"/>
  <c r="K284" i="4"/>
  <c r="K285" i="4" a="1"/>
  <c r="K285" i="4"/>
  <c r="K286" i="4" a="1"/>
  <c r="K286" i="4" s="1"/>
  <c r="K287" i="4" a="1"/>
  <c r="K287" i="4" s="1"/>
  <c r="K288" i="4" a="1"/>
  <c r="K288" i="4"/>
  <c r="K289" i="4" a="1"/>
  <c r="K289" i="4"/>
  <c r="K290" i="4" a="1"/>
  <c r="K290" i="4" s="1"/>
  <c r="K291" i="4" a="1"/>
  <c r="K291" i="4" s="1"/>
  <c r="K292" i="4" a="1"/>
  <c r="K292" i="4" s="1"/>
  <c r="K293" i="4" a="1"/>
  <c r="K293" i="4"/>
  <c r="K294" i="4" a="1"/>
  <c r="K294" i="4" s="1"/>
  <c r="K295" i="4" a="1"/>
  <c r="K295" i="4" s="1"/>
  <c r="K296" i="4" a="1"/>
  <c r="K296" i="4" s="1"/>
  <c r="K297" i="4" a="1"/>
  <c r="K297" i="4"/>
  <c r="K298" i="4" a="1"/>
  <c r="K298" i="4" s="1"/>
  <c r="K299" i="4" a="1"/>
  <c r="K299" i="4"/>
  <c r="K300" i="4" a="1"/>
  <c r="K300" i="4" s="1"/>
  <c r="K301" i="4" a="1"/>
  <c r="K301" i="4" s="1"/>
  <c r="K302" i="4" a="1"/>
  <c r="K302" i="4" s="1"/>
  <c r="K303" i="4" a="1"/>
  <c r="K303" i="4" s="1"/>
  <c r="K304" i="4" a="1"/>
  <c r="K304" i="4" s="1"/>
  <c r="K305" i="4" a="1"/>
  <c r="K305" i="4" s="1"/>
  <c r="K306" i="4" a="1"/>
  <c r="K306" i="4" s="1"/>
  <c r="K307" i="4" a="1"/>
  <c r="K307" i="4"/>
  <c r="K308" i="4" a="1"/>
  <c r="K308" i="4" s="1"/>
  <c r="K309" i="4" a="1"/>
  <c r="K309" i="4" s="1"/>
  <c r="K310" i="4" a="1"/>
  <c r="K310" i="4" s="1"/>
  <c r="K311" i="4" a="1"/>
  <c r="K311" i="4"/>
  <c r="K312" i="4" a="1"/>
  <c r="K312" i="4" s="1"/>
  <c r="K313" i="4" a="1"/>
  <c r="K313" i="4" s="1"/>
  <c r="K314" i="4" a="1"/>
  <c r="K314" i="4" s="1"/>
  <c r="K315" i="4" a="1"/>
  <c r="K315" i="4" s="1"/>
  <c r="K316" i="4" a="1"/>
  <c r="K316" i="4"/>
  <c r="K317" i="4" a="1"/>
  <c r="K317" i="4" s="1"/>
  <c r="K318" i="4" a="1"/>
  <c r="K318" i="4" s="1"/>
  <c r="K319" i="4" a="1"/>
  <c r="K319" i="4" s="1"/>
  <c r="K320" i="4" a="1"/>
  <c r="K320" i="4"/>
  <c r="K321" i="4" a="1"/>
  <c r="K321" i="4"/>
  <c r="K322" i="4" a="1"/>
  <c r="K322" i="4" s="1"/>
  <c r="K323" i="4" a="1"/>
  <c r="K323" i="4" s="1"/>
  <c r="K324" i="4" a="1"/>
  <c r="K324" i="4" s="1"/>
  <c r="K325" i="4" a="1"/>
  <c r="K325" i="4"/>
  <c r="K326" i="4" a="1"/>
  <c r="K326" i="4" s="1"/>
  <c r="K327" i="4" a="1"/>
  <c r="K327" i="4"/>
  <c r="K328" i="4" a="1"/>
  <c r="K328" i="4" s="1"/>
  <c r="K329" i="4" a="1"/>
  <c r="K329" i="4"/>
  <c r="K330" i="4" a="1"/>
  <c r="K330" i="4" s="1"/>
  <c r="K331" i="4" a="1"/>
  <c r="K331" i="4" s="1"/>
  <c r="K332" i="4" a="1"/>
  <c r="K332" i="4"/>
  <c r="K333" i="4" a="1"/>
  <c r="K333" i="4" s="1"/>
  <c r="K334" i="4" a="1"/>
  <c r="K334" i="4" s="1"/>
  <c r="K335" i="4" a="1"/>
  <c r="K335" i="4" s="1"/>
  <c r="K336" i="4" a="1"/>
  <c r="K336" i="4" s="1"/>
  <c r="K337" i="4" a="1"/>
  <c r="K337" i="4" s="1"/>
  <c r="K338" i="4" a="1"/>
  <c r="K338" i="4" s="1"/>
  <c r="K339" i="4" a="1"/>
  <c r="K339" i="4"/>
  <c r="K340" i="4" a="1"/>
  <c r="K340" i="4" s="1"/>
  <c r="K341" i="4" a="1"/>
  <c r="K341" i="4" s="1"/>
  <c r="K342" i="4" a="1"/>
  <c r="K342" i="4" s="1"/>
  <c r="K343" i="4" a="1"/>
  <c r="K343" i="4"/>
  <c r="K344" i="4" a="1"/>
  <c r="K344" i="4"/>
  <c r="K345" i="4" a="1"/>
  <c r="K345" i="4"/>
  <c r="K346" i="4" a="1"/>
  <c r="K346" i="4" s="1"/>
  <c r="K347" i="4" a="1"/>
  <c r="K347" i="4"/>
  <c r="K348" i="4" a="1"/>
  <c r="K348" i="4" s="1"/>
  <c r="K349" i="4" a="1"/>
  <c r="K349" i="4" s="1"/>
  <c r="K350" i="4" a="1"/>
  <c r="K350" i="4" s="1"/>
  <c r="K351" i="4" a="1"/>
  <c r="K351" i="4"/>
  <c r="K352" i="4" a="1"/>
  <c r="K352" i="4"/>
  <c r="K353" i="4" a="1"/>
  <c r="K353" i="4"/>
  <c r="K354" i="4" a="1"/>
  <c r="K354" i="4" s="1"/>
  <c r="K355" i="4" a="1"/>
  <c r="K355" i="4" s="1"/>
  <c r="K356" i="4" a="1"/>
  <c r="K356" i="4"/>
  <c r="K357" i="4" a="1"/>
  <c r="K357" i="4" s="1"/>
  <c r="K358" i="4" a="1"/>
  <c r="K358" i="4" s="1"/>
  <c r="K359" i="4" a="1"/>
  <c r="K359" i="4"/>
  <c r="K360" i="4" a="1"/>
  <c r="K360" i="4"/>
  <c r="K361" i="4" a="1"/>
  <c r="K361" i="4"/>
  <c r="K362" i="4" a="1"/>
  <c r="K362" i="4" s="1"/>
  <c r="K363" i="4" a="1"/>
  <c r="K363" i="4" s="1"/>
  <c r="K364" i="4" a="1"/>
  <c r="K364" i="4" s="1"/>
  <c r="K365" i="4" a="1"/>
  <c r="K365" i="4"/>
  <c r="K366" i="4" a="1"/>
  <c r="K366" i="4" s="1"/>
  <c r="K367" i="4" a="1"/>
  <c r="K367" i="4"/>
  <c r="K368" i="4" a="1"/>
  <c r="K368" i="4"/>
  <c r="K369" i="4" a="1"/>
  <c r="K369" i="4"/>
  <c r="K370" i="4" a="1"/>
  <c r="K370" i="4" s="1"/>
  <c r="K371" i="4" a="1"/>
  <c r="K371" i="4" s="1"/>
  <c r="K372" i="4" a="1"/>
  <c r="K372" i="4" s="1"/>
  <c r="K373" i="4" a="1"/>
  <c r="K373" i="4" s="1"/>
  <c r="K374" i="4" a="1"/>
  <c r="K374" i="4" s="1"/>
  <c r="K375" i="4" a="1"/>
  <c r="K375" i="4" s="1"/>
  <c r="K376" i="4" a="1"/>
  <c r="K376" i="4"/>
  <c r="K377" i="4" a="1"/>
  <c r="K377" i="4"/>
  <c r="K378" i="4" a="1"/>
  <c r="K378" i="4" s="1"/>
  <c r="K379" i="4" a="1"/>
  <c r="K379" i="4"/>
  <c r="K380" i="4" a="1"/>
  <c r="K380" i="4" s="1"/>
  <c r="K381" i="4" a="1"/>
  <c r="K381" i="4" s="1"/>
  <c r="K382" i="4" a="1"/>
  <c r="K382" i="4" s="1"/>
  <c r="K383" i="4" a="1"/>
  <c r="K383" i="4"/>
  <c r="K384" i="4" a="1"/>
  <c r="K384" i="4" s="1"/>
  <c r="K385" i="4" a="1"/>
  <c r="K385" i="4"/>
  <c r="K386" i="4" a="1"/>
  <c r="K386" i="4" s="1"/>
  <c r="K387" i="4" a="1"/>
  <c r="K387" i="4" s="1"/>
  <c r="K388" i="4" a="1"/>
  <c r="K388" i="4"/>
  <c r="K389" i="4" a="1"/>
  <c r="K389" i="4" s="1"/>
  <c r="K390" i="4" a="1"/>
  <c r="K390" i="4" s="1"/>
  <c r="K391" i="4" a="1"/>
  <c r="K391" i="4"/>
  <c r="K392" i="4" a="1"/>
  <c r="K392" i="4"/>
  <c r="K393" i="4" a="1"/>
  <c r="K393" i="4" s="1"/>
  <c r="K394" i="4" a="1"/>
  <c r="K394" i="4" s="1"/>
  <c r="K395" i="4" a="1"/>
  <c r="K395" i="4" s="1"/>
  <c r="K396" i="4" a="1"/>
  <c r="K396" i="4" s="1"/>
  <c r="K397" i="4" a="1"/>
  <c r="K397" i="4"/>
  <c r="K398" i="4" a="1"/>
  <c r="K398" i="4" s="1"/>
  <c r="K399" i="4" a="1"/>
  <c r="K399" i="4"/>
  <c r="K400" i="4" a="1"/>
  <c r="K400" i="4"/>
  <c r="K401" i="4" a="1"/>
  <c r="K401" i="4"/>
  <c r="K402" i="4" a="1"/>
  <c r="K402" i="4" s="1"/>
  <c r="K403" i="4" a="1"/>
  <c r="K403" i="4" s="1"/>
  <c r="K404" i="4" a="1"/>
  <c r="K404" i="4" s="1"/>
  <c r="K405" i="4" a="1"/>
  <c r="K405" i="4" s="1"/>
  <c r="K406" i="4" a="1"/>
  <c r="K406" i="4" s="1"/>
  <c r="K407" i="4" a="1"/>
  <c r="K407" i="4" s="1"/>
  <c r="K408" i="4" a="1"/>
  <c r="K408" i="4"/>
  <c r="K409" i="4" a="1"/>
  <c r="K409" i="4"/>
  <c r="K410" i="4" a="1"/>
  <c r="K410" i="4" s="1"/>
  <c r="K411" i="4" a="1"/>
  <c r="K411" i="4"/>
  <c r="K412" i="4" a="1"/>
  <c r="K412" i="4" s="1"/>
  <c r="K413" i="4" a="1"/>
  <c r="K413" i="4" s="1"/>
  <c r="K414" i="4" a="1"/>
  <c r="K414" i="4" s="1"/>
  <c r="K415" i="4" a="1"/>
  <c r="K415" i="4"/>
  <c r="K416" i="4" a="1"/>
  <c r="K416" i="4" s="1"/>
  <c r="K417" i="4" a="1"/>
  <c r="K417" i="4"/>
  <c r="K418" i="4" a="1"/>
  <c r="K418" i="4" s="1"/>
  <c r="K419" i="4" a="1"/>
  <c r="K419" i="4" s="1"/>
  <c r="K420" i="4" a="1"/>
  <c r="K420" i="4"/>
  <c r="K421" i="4" a="1"/>
  <c r="K421" i="4" s="1"/>
  <c r="K422" i="4" a="1"/>
  <c r="K422" i="4" s="1"/>
  <c r="K423" i="4" a="1"/>
  <c r="K423" i="4"/>
  <c r="K424" i="4" a="1"/>
  <c r="K424" i="4"/>
  <c r="K425" i="4" a="1"/>
  <c r="K425" i="4" s="1"/>
  <c r="K426" i="4" a="1"/>
  <c r="K426" i="4" s="1"/>
  <c r="K427" i="4" a="1"/>
  <c r="K427" i="4" s="1"/>
  <c r="K428" i="4" a="1"/>
  <c r="K428" i="4" s="1"/>
  <c r="K429" i="4" a="1"/>
  <c r="K429" i="4"/>
  <c r="K430" i="4" a="1"/>
  <c r="K430" i="4" s="1"/>
  <c r="K431" i="4" a="1"/>
  <c r="K431" i="4"/>
  <c r="K432" i="4" a="1"/>
  <c r="K432" i="4"/>
  <c r="K433" i="4" a="1"/>
  <c r="K433" i="4"/>
  <c r="K434" i="4" a="1"/>
  <c r="K434" i="4" s="1"/>
  <c r="K435" i="4" a="1"/>
  <c r="K435" i="4" s="1"/>
  <c r="K436" i="4" a="1"/>
  <c r="K436" i="4" s="1"/>
  <c r="K437" i="4" a="1"/>
  <c r="K437" i="4" s="1"/>
  <c r="K438" i="4" a="1"/>
  <c r="K438" i="4" s="1"/>
  <c r="K439" i="4" a="1"/>
  <c r="K439" i="4" s="1"/>
  <c r="K440" i="4" a="1"/>
  <c r="K440" i="4"/>
  <c r="K441" i="4" a="1"/>
  <c r="K441" i="4"/>
  <c r="K442" i="4" a="1"/>
  <c r="K442" i="4" s="1"/>
  <c r="K443" i="4" a="1"/>
  <c r="K443" i="4"/>
  <c r="K444" i="4" a="1"/>
  <c r="K444" i="4" s="1"/>
  <c r="K445" i="4" a="1"/>
  <c r="K445" i="4" s="1"/>
  <c r="K446" i="4" a="1"/>
  <c r="K446" i="4" s="1"/>
  <c r="K447" i="4" a="1"/>
  <c r="K447" i="4"/>
  <c r="K448" i="4" a="1"/>
  <c r="K448" i="4" s="1"/>
  <c r="K449" i="4" a="1"/>
  <c r="K449" i="4"/>
  <c r="K450" i="4" a="1"/>
  <c r="K450" i="4" s="1"/>
  <c r="K451" i="4" a="1"/>
  <c r="K451" i="4" s="1"/>
  <c r="K452" i="4" a="1"/>
  <c r="K452" i="4"/>
  <c r="K453" i="4" a="1"/>
  <c r="K453" i="4" s="1"/>
  <c r="K454" i="4" a="1"/>
  <c r="K454" i="4" s="1"/>
  <c r="K455" i="4" a="1"/>
  <c r="K455" i="4"/>
  <c r="K456" i="4" a="1"/>
  <c r="K456" i="4"/>
  <c r="K457" i="4" a="1"/>
  <c r="K457" i="4" s="1"/>
  <c r="K458" i="4" a="1"/>
  <c r="K458" i="4" s="1"/>
  <c r="K459" i="4" a="1"/>
  <c r="K459" i="4" s="1"/>
  <c r="K460" i="4" a="1"/>
  <c r="K460" i="4" s="1"/>
  <c r="K461" i="4" a="1"/>
  <c r="K461" i="4"/>
  <c r="K462" i="4" a="1"/>
  <c r="K462" i="4" s="1"/>
  <c r="K463" i="4" a="1"/>
  <c r="K463" i="4"/>
  <c r="K464" i="4" a="1"/>
  <c r="K464" i="4"/>
  <c r="K465" i="4" a="1"/>
  <c r="K465" i="4"/>
  <c r="K466" i="4" a="1"/>
  <c r="K466" i="4" s="1"/>
  <c r="K467" i="4" a="1"/>
  <c r="K467" i="4" s="1"/>
  <c r="K468" i="4" a="1"/>
  <c r="K468" i="4" s="1"/>
  <c r="K469" i="4" a="1"/>
  <c r="K469" i="4" s="1"/>
  <c r="K470" i="4" a="1"/>
  <c r="K470" i="4" s="1"/>
  <c r="K471" i="4" a="1"/>
  <c r="K471" i="4" s="1"/>
  <c r="K472" i="4" a="1"/>
  <c r="K472" i="4"/>
  <c r="K473" i="4" a="1"/>
  <c r="K473" i="4"/>
  <c r="K474" i="4" a="1"/>
  <c r="K474" i="4" s="1"/>
  <c r="K475" i="4" a="1"/>
  <c r="K475" i="4"/>
  <c r="K476" i="4" a="1"/>
  <c r="K476" i="4" s="1"/>
  <c r="K477" i="4" a="1"/>
  <c r="K477" i="4" s="1"/>
  <c r="K478" i="4" a="1"/>
  <c r="K478" i="4" s="1"/>
  <c r="K479" i="4" a="1"/>
  <c r="K479" i="4"/>
  <c r="K480" i="4" a="1"/>
  <c r="K480" i="4" s="1"/>
  <c r="K481" i="4" a="1"/>
  <c r="K481" i="4"/>
  <c r="K482" i="4" a="1"/>
  <c r="K482" i="4" s="1"/>
  <c r="K483" i="4" a="1"/>
  <c r="K483" i="4" s="1"/>
  <c r="K484" i="4" a="1"/>
  <c r="K484" i="4"/>
  <c r="K485" i="4" a="1"/>
  <c r="K485" i="4" s="1"/>
  <c r="K486" i="4" a="1"/>
  <c r="K486" i="4" s="1"/>
  <c r="K487" i="4" a="1"/>
  <c r="K487" i="4"/>
  <c r="K488" i="4" a="1"/>
  <c r="K488" i="4"/>
  <c r="K489" i="4" a="1"/>
  <c r="K489" i="4" s="1"/>
  <c r="K490" i="4" a="1"/>
  <c r="K490" i="4" s="1"/>
  <c r="K491" i="4" a="1"/>
  <c r="K491" i="4" s="1"/>
  <c r="K492" i="4" a="1"/>
  <c r="K492" i="4" s="1"/>
  <c r="K493" i="4" a="1"/>
  <c r="K493" i="4"/>
  <c r="K494" i="4" a="1"/>
  <c r="K494" i="4" s="1"/>
  <c r="K495" i="4" a="1"/>
  <c r="K495" i="4"/>
  <c r="K496" i="4" a="1"/>
  <c r="K496" i="4"/>
  <c r="K497" i="4" a="1"/>
  <c r="K497" i="4"/>
  <c r="K498" i="4" a="1"/>
  <c r="K498" i="4" s="1"/>
  <c r="K499" i="4" a="1"/>
  <c r="K499" i="4" s="1"/>
  <c r="K500" i="4" a="1"/>
  <c r="K500" i="4" s="1"/>
  <c r="K501" i="4" a="1"/>
  <c r="K501" i="4" s="1"/>
  <c r="K502" i="4" a="1"/>
  <c r="K502" i="4" s="1"/>
  <c r="K503" i="4" a="1"/>
  <c r="K503" i="4" s="1"/>
  <c r="K504" i="4" a="1"/>
  <c r="K504" i="4"/>
  <c r="K505" i="4" a="1"/>
  <c r="K505" i="4"/>
  <c r="K506" i="4" a="1"/>
  <c r="K506" i="4" s="1"/>
  <c r="K507" i="4" a="1"/>
  <c r="K507" i="4"/>
  <c r="K508" i="4" a="1"/>
  <c r="K508" i="4" s="1"/>
  <c r="K509" i="4" a="1"/>
  <c r="K509" i="4" s="1"/>
  <c r="K510" i="4" a="1"/>
  <c r="K510" i="4" s="1"/>
  <c r="K511" i="4" a="1"/>
  <c r="K511" i="4"/>
  <c r="K512" i="4" a="1"/>
  <c r="K512" i="4" s="1"/>
  <c r="K513" i="4" a="1"/>
  <c r="K513" i="4"/>
  <c r="K514" i="4" a="1"/>
  <c r="K514" i="4" s="1"/>
  <c r="K515" i="4" a="1"/>
  <c r="K515" i="4" s="1"/>
  <c r="K516" i="4" a="1"/>
  <c r="K516" i="4"/>
  <c r="K517" i="4" a="1"/>
  <c r="K517" i="4" s="1"/>
  <c r="K518" i="4" a="1"/>
  <c r="K518" i="4" s="1"/>
  <c r="K519" i="4" a="1"/>
  <c r="K519" i="4"/>
  <c r="K520" i="4" a="1"/>
  <c r="K520" i="4"/>
  <c r="K521" i="4" a="1"/>
  <c r="K521" i="4" s="1"/>
  <c r="K522" i="4" a="1"/>
  <c r="K522" i="4" s="1"/>
  <c r="K523" i="4" a="1"/>
  <c r="K523" i="4" s="1"/>
  <c r="K524" i="4" a="1"/>
  <c r="K524" i="4" s="1"/>
  <c r="K525" i="4" a="1"/>
  <c r="K525" i="4"/>
  <c r="K526" i="4" a="1"/>
  <c r="K526" i="4" s="1"/>
  <c r="K527" i="4" a="1"/>
  <c r="K527" i="4"/>
  <c r="K528" i="4" a="1"/>
  <c r="K528" i="4"/>
  <c r="K529" i="4" a="1"/>
  <c r="K529" i="4"/>
  <c r="K530" i="4" a="1"/>
  <c r="K530" i="4" s="1"/>
  <c r="K531" i="4" a="1"/>
  <c r="K531" i="4" s="1"/>
  <c r="K532" i="4" a="1"/>
  <c r="K532" i="4" s="1"/>
  <c r="K533" i="4" a="1"/>
  <c r="K533" i="4" s="1"/>
  <c r="K534" i="4" a="1"/>
  <c r="K534" i="4" s="1"/>
  <c r="K535" i="4" a="1"/>
  <c r="K535" i="4" s="1"/>
  <c r="K536" i="4" a="1"/>
  <c r="K536" i="4"/>
  <c r="K537" i="4" a="1"/>
  <c r="K537" i="4"/>
  <c r="K538" i="4" a="1"/>
  <c r="K538" i="4" s="1"/>
  <c r="K539" i="4" a="1"/>
  <c r="K539" i="4"/>
  <c r="K540" i="4" a="1"/>
  <c r="K540" i="4" s="1"/>
  <c r="K541" i="4" a="1"/>
  <c r="K541" i="4" s="1"/>
  <c r="K542" i="4" a="1"/>
  <c r="K542" i="4" s="1"/>
  <c r="K543" i="4" a="1"/>
  <c r="K543" i="4"/>
  <c r="K544" i="4" a="1"/>
  <c r="K544" i="4" s="1"/>
  <c r="K545" i="4" a="1"/>
  <c r="K545" i="4"/>
  <c r="K546" i="4" a="1"/>
  <c r="K546" i="4" s="1"/>
  <c r="K547" i="4" a="1"/>
  <c r="K547" i="4" s="1"/>
  <c r="K548" i="4" a="1"/>
  <c r="K548" i="4"/>
  <c r="K549" i="4" a="1"/>
  <c r="K549" i="4" s="1"/>
  <c r="K550" i="4" a="1"/>
  <c r="K550" i="4" s="1"/>
  <c r="K551" i="4" a="1"/>
  <c r="K551" i="4"/>
  <c r="K552" i="4" a="1"/>
  <c r="K552" i="4"/>
  <c r="K553" i="4" a="1"/>
  <c r="K553" i="4" s="1"/>
  <c r="K554" i="4" a="1"/>
  <c r="K554" i="4" s="1"/>
  <c r="K555" i="4" a="1"/>
  <c r="K555" i="4" s="1"/>
  <c r="K556" i="4" a="1"/>
  <c r="K556" i="4" s="1"/>
  <c r="K557" i="4" a="1"/>
  <c r="K557" i="4"/>
  <c r="K558" i="4" a="1"/>
  <c r="K558" i="4" s="1"/>
  <c r="K559" i="4" a="1"/>
  <c r="K559" i="4"/>
  <c r="K560" i="4" a="1"/>
  <c r="K560" i="4"/>
  <c r="K561" i="4" a="1"/>
  <c r="K561" i="4"/>
  <c r="K562" i="4" a="1"/>
  <c r="K562" i="4" s="1"/>
  <c r="K563" i="4" a="1"/>
  <c r="K563" i="4" s="1"/>
  <c r="K564" i="4" a="1"/>
  <c r="K564" i="4" s="1"/>
  <c r="K565" i="4" a="1"/>
  <c r="K565" i="4" s="1"/>
  <c r="K566" i="4" a="1"/>
  <c r="K566" i="4" s="1"/>
  <c r="K567" i="4" a="1"/>
  <c r="K567" i="4" s="1"/>
  <c r="K568" i="4" a="1"/>
  <c r="K568" i="4"/>
  <c r="K569" i="4" a="1"/>
  <c r="K569" i="4"/>
  <c r="K570" i="4" a="1"/>
  <c r="K570" i="4" s="1"/>
  <c r="K571" i="4" a="1"/>
  <c r="K571" i="4"/>
  <c r="K572" i="4" a="1"/>
  <c r="K572" i="4" s="1"/>
  <c r="K573" i="4" a="1"/>
  <c r="K573" i="4" s="1"/>
  <c r="K574" i="4" a="1"/>
  <c r="K574" i="4" s="1"/>
  <c r="K575" i="4" a="1"/>
  <c r="K575" i="4"/>
  <c r="K576" i="4" a="1"/>
  <c r="K576" i="4" s="1"/>
  <c r="K577" i="4" a="1"/>
  <c r="K577" i="4"/>
  <c r="K578" i="4" a="1"/>
  <c r="K578" i="4" s="1"/>
  <c r="K579" i="4" a="1"/>
  <c r="K579" i="4" s="1"/>
  <c r="K580" i="4" a="1"/>
  <c r="K580" i="4"/>
  <c r="K581" i="4" a="1"/>
  <c r="K581" i="4" s="1"/>
  <c r="K582" i="4" a="1"/>
  <c r="K582" i="4" s="1"/>
  <c r="K583" i="4" a="1"/>
  <c r="K583" i="4"/>
  <c r="K584" i="4" a="1"/>
  <c r="K584" i="4"/>
  <c r="K585" i="4" a="1"/>
  <c r="K585" i="4" s="1"/>
  <c r="K586" i="4" a="1"/>
  <c r="K586" i="4" s="1"/>
  <c r="K587" i="4" a="1"/>
  <c r="K587" i="4" s="1"/>
  <c r="K588" i="4" a="1"/>
  <c r="K588" i="4" s="1"/>
  <c r="K589" i="4" a="1"/>
  <c r="K589" i="4"/>
  <c r="K590" i="4" a="1"/>
  <c r="K590" i="4" s="1"/>
  <c r="K591" i="4" a="1"/>
  <c r="K591" i="4"/>
  <c r="K592" i="4" a="1"/>
  <c r="K592" i="4"/>
  <c r="K593" i="4" a="1"/>
  <c r="K593" i="4"/>
  <c r="K594" i="4" a="1"/>
  <c r="K594" i="4" s="1"/>
  <c r="K595" i="4" a="1"/>
  <c r="K595" i="4" s="1"/>
  <c r="K596" i="4" a="1"/>
  <c r="K596" i="4" s="1"/>
  <c r="K597" i="4" a="1"/>
  <c r="K597" i="4" s="1"/>
  <c r="K598" i="4" a="1"/>
  <c r="K598" i="4" s="1"/>
  <c r="K599" i="4" a="1"/>
  <c r="K599" i="4" s="1"/>
  <c r="K600" i="4" a="1"/>
  <c r="K600" i="4"/>
  <c r="K601" i="4" a="1"/>
  <c r="K601" i="4"/>
  <c r="K602" i="4" a="1"/>
  <c r="K602" i="4" s="1"/>
  <c r="K603" i="4" a="1"/>
  <c r="K603" i="4"/>
  <c r="K604" i="4" a="1"/>
  <c r="K604" i="4" s="1"/>
  <c r="K605" i="4" a="1"/>
  <c r="K605" i="4" s="1"/>
  <c r="K606" i="4" a="1"/>
  <c r="K606" i="4" s="1"/>
  <c r="K607" i="4" a="1"/>
  <c r="K607" i="4"/>
  <c r="K608" i="4" a="1"/>
  <c r="K608" i="4" s="1"/>
  <c r="K609" i="4" a="1"/>
  <c r="K609" i="4"/>
  <c r="K610" i="4" a="1"/>
  <c r="K610" i="4" s="1"/>
  <c r="K611" i="4" a="1"/>
  <c r="K611" i="4" s="1"/>
  <c r="K612" i="4" a="1"/>
  <c r="K612" i="4"/>
  <c r="K613" i="4" a="1"/>
  <c r="K613" i="4" s="1"/>
  <c r="K614" i="4" a="1"/>
  <c r="K614" i="4" s="1"/>
  <c r="K615" i="4" a="1"/>
  <c r="K615" i="4"/>
  <c r="K616" i="4" a="1"/>
  <c r="K616" i="4"/>
  <c r="K617" i="4" a="1"/>
  <c r="K617" i="4" s="1"/>
  <c r="K618" i="4" a="1"/>
  <c r="K618" i="4" s="1"/>
  <c r="K619" i="4" a="1"/>
  <c r="K619" i="4" s="1"/>
  <c r="K620" i="4" a="1"/>
  <c r="K620" i="4" s="1"/>
  <c r="K621" i="4" a="1"/>
  <c r="K621" i="4"/>
  <c r="K622" i="4" a="1"/>
  <c r="K622" i="4" s="1"/>
  <c r="K623" i="4" a="1"/>
  <c r="K623" i="4"/>
  <c r="K624" i="4" a="1"/>
  <c r="K624" i="4"/>
  <c r="K625" i="4" a="1"/>
  <c r="K625" i="4"/>
  <c r="K626" i="4" a="1"/>
  <c r="K626" i="4" s="1"/>
  <c r="K627" i="4" a="1"/>
  <c r="K627" i="4" s="1"/>
  <c r="K628" i="4" a="1"/>
  <c r="K628" i="4" s="1"/>
  <c r="K629" i="4" a="1"/>
  <c r="K629" i="4" s="1"/>
  <c r="K630" i="4" a="1"/>
  <c r="K630" i="4" s="1"/>
  <c r="K631" i="4" a="1"/>
  <c r="K631" i="4" s="1"/>
  <c r="K632" i="4" a="1"/>
  <c r="K632" i="4"/>
  <c r="K633" i="4" a="1"/>
  <c r="K633" i="4"/>
  <c r="K634" i="4" a="1"/>
  <c r="K634" i="4" s="1"/>
  <c r="K635" i="4" a="1"/>
  <c r="K635" i="4"/>
  <c r="K636" i="4" a="1"/>
  <c r="K636" i="4" s="1"/>
  <c r="K637" i="4" a="1"/>
  <c r="K637" i="4" s="1"/>
  <c r="K638" i="4" a="1"/>
  <c r="K638" i="4" s="1"/>
  <c r="K639" i="4" a="1"/>
  <c r="K639" i="4"/>
  <c r="K640" i="4" a="1"/>
  <c r="K640" i="4" s="1"/>
  <c r="K641" i="4" a="1"/>
  <c r="K641" i="4"/>
  <c r="K642" i="4" a="1"/>
  <c r="K642" i="4" s="1"/>
  <c r="K643" i="4" a="1"/>
  <c r="K643" i="4" s="1"/>
  <c r="K644" i="4" a="1"/>
  <c r="K644" i="4"/>
  <c r="K645" i="4" a="1"/>
  <c r="K645" i="4" s="1"/>
  <c r="K646" i="4" a="1"/>
  <c r="K646" i="4" s="1"/>
  <c r="K647" i="4" a="1"/>
  <c r="K647" i="4"/>
  <c r="K648" i="4" a="1"/>
  <c r="K648" i="4"/>
  <c r="K649" i="4" a="1"/>
  <c r="K649" i="4" s="1"/>
  <c r="K650" i="4" a="1"/>
  <c r="K650" i="4" s="1"/>
  <c r="K651" i="4" a="1"/>
  <c r="K651" i="4" s="1"/>
  <c r="K652" i="4" a="1"/>
  <c r="K652" i="4" s="1"/>
  <c r="K653" i="4" a="1"/>
  <c r="K653" i="4"/>
  <c r="K654" i="4" a="1"/>
  <c r="K654" i="4" s="1"/>
  <c r="K655" i="4" a="1"/>
  <c r="K655" i="4"/>
  <c r="K656" i="4" a="1"/>
  <c r="K656" i="4"/>
  <c r="K657" i="4" a="1"/>
  <c r="K657" i="4"/>
  <c r="K658" i="4" a="1"/>
  <c r="K658" i="4" s="1"/>
  <c r="K659" i="4" a="1"/>
  <c r="K659" i="4" s="1"/>
  <c r="K660" i="4" a="1"/>
  <c r="K660" i="4" s="1"/>
  <c r="K661" i="4" a="1"/>
  <c r="K661" i="4" s="1"/>
  <c r="K662" i="4" a="1"/>
  <c r="K662" i="4" s="1"/>
  <c r="K663" i="4" a="1"/>
  <c r="K663" i="4" s="1"/>
  <c r="K664" i="4" a="1"/>
  <c r="K664" i="4"/>
  <c r="K665" i="4" a="1"/>
  <c r="K665" i="4"/>
  <c r="K666" i="4" a="1"/>
  <c r="K666" i="4" s="1"/>
  <c r="K667" i="4" a="1"/>
  <c r="K667" i="4"/>
  <c r="K668" i="4" a="1"/>
  <c r="K668" i="4" s="1"/>
  <c r="K669" i="4" a="1"/>
  <c r="K669" i="4" s="1"/>
  <c r="K670" i="4" a="1"/>
  <c r="K670" i="4" s="1"/>
  <c r="K671" i="4" a="1"/>
  <c r="K671" i="4"/>
  <c r="K672" i="4" a="1"/>
  <c r="K672" i="4" s="1"/>
  <c r="K673" i="4" a="1"/>
  <c r="K673" i="4"/>
  <c r="K674" i="4" a="1"/>
  <c r="K674" i="4" s="1"/>
  <c r="K675" i="4" a="1"/>
  <c r="K675" i="4" s="1"/>
  <c r="K676" i="4" a="1"/>
  <c r="K676" i="4"/>
  <c r="K677" i="4" a="1"/>
  <c r="K677" i="4" s="1"/>
  <c r="K678" i="4" a="1"/>
  <c r="K678" i="4" s="1"/>
  <c r="K679" i="4" a="1"/>
  <c r="K679" i="4"/>
  <c r="K680" i="4" a="1"/>
  <c r="K680" i="4"/>
  <c r="K681" i="4" a="1"/>
  <c r="K681" i="4" s="1"/>
  <c r="K682" i="4" a="1"/>
  <c r="K682" i="4" s="1"/>
  <c r="K683" i="4" a="1"/>
  <c r="K683" i="4" s="1"/>
  <c r="K684" i="4" a="1"/>
  <c r="K684" i="4" s="1"/>
  <c r="K685" i="4" a="1"/>
  <c r="K685" i="4"/>
  <c r="K686" i="4" a="1"/>
  <c r="K686" i="4" s="1"/>
  <c r="K687" i="4" a="1"/>
  <c r="K687" i="4"/>
  <c r="K688" i="4" a="1"/>
  <c r="K688" i="4"/>
  <c r="K689" i="4" a="1"/>
  <c r="K689" i="4"/>
  <c r="K690" i="4" a="1"/>
  <c r="K690" i="4" s="1"/>
  <c r="K691" i="4" a="1"/>
  <c r="K691" i="4" s="1"/>
  <c r="K692" i="4" a="1"/>
  <c r="K692" i="4" s="1"/>
  <c r="K693" i="4" a="1"/>
  <c r="K693" i="4" s="1"/>
  <c r="K694" i="4" a="1"/>
  <c r="K694" i="4" s="1"/>
  <c r="K695" i="4" a="1"/>
  <c r="K695" i="4" s="1"/>
  <c r="K696" i="4" a="1"/>
  <c r="K696" i="4"/>
  <c r="K697" i="4" a="1"/>
  <c r="K697" i="4"/>
  <c r="K698" i="4" a="1"/>
  <c r="K698" i="4" s="1"/>
  <c r="K699" i="4" a="1"/>
  <c r="K699" i="4"/>
  <c r="K700" i="4" a="1"/>
  <c r="K700" i="4" s="1"/>
  <c r="K701" i="4" a="1"/>
  <c r="K701" i="4" s="1"/>
  <c r="K702" i="4" a="1"/>
  <c r="K702" i="4" s="1"/>
  <c r="K703" i="4" a="1"/>
  <c r="K703" i="4"/>
  <c r="K704" i="4" a="1"/>
  <c r="K704" i="4" s="1"/>
  <c r="K705" i="4" a="1"/>
  <c r="K705" i="4"/>
  <c r="K706" i="4" a="1"/>
  <c r="K706" i="4" s="1"/>
  <c r="K707" i="4" a="1"/>
  <c r="K707" i="4" s="1"/>
  <c r="K708" i="4" a="1"/>
  <c r="K708" i="4"/>
  <c r="K709" i="4" a="1"/>
  <c r="K709" i="4"/>
  <c r="K710" i="4" a="1"/>
  <c r="K710" i="4" s="1"/>
  <c r="K711" i="4" a="1"/>
  <c r="K711" i="4"/>
  <c r="K712" i="4" a="1"/>
  <c r="K712" i="4"/>
  <c r="K713" i="4" a="1"/>
  <c r="K713" i="4" s="1"/>
  <c r="K714" i="4" a="1"/>
  <c r="K714" i="4" s="1"/>
  <c r="K715" i="4" a="1"/>
  <c r="K715" i="4" s="1"/>
  <c r="K716" i="4" a="1"/>
  <c r="K716" i="4" s="1"/>
  <c r="K717" i="4" a="1"/>
  <c r="K717" i="4"/>
  <c r="K718" i="4" a="1"/>
  <c r="K718" i="4" s="1"/>
  <c r="K719" i="4" a="1"/>
  <c r="K719" i="4"/>
  <c r="K720" i="4" a="1"/>
  <c r="K720" i="4" s="1"/>
  <c r="K721" i="4" a="1"/>
  <c r="K721" i="4"/>
  <c r="K722" i="4" a="1"/>
  <c r="K722" i="4" s="1"/>
  <c r="K723" i="4" a="1"/>
  <c r="K723" i="4" s="1"/>
  <c r="K724" i="4" a="1"/>
  <c r="K724" i="4" s="1"/>
  <c r="K725" i="4" a="1"/>
  <c r="K725" i="4" s="1"/>
  <c r="K726" i="4" a="1"/>
  <c r="K726" i="4" s="1"/>
  <c r="K727" i="4" a="1"/>
  <c r="K727" i="4" s="1"/>
  <c r="K728" i="4" a="1"/>
  <c r="K728" i="4"/>
  <c r="K729" i="4" a="1"/>
  <c r="K729" i="4" s="1"/>
  <c r="K730" i="4" a="1"/>
  <c r="K730" i="4" s="1"/>
  <c r="K731" i="4" a="1"/>
  <c r="K731" i="4"/>
  <c r="K732" i="4" a="1"/>
  <c r="K732" i="4" s="1"/>
  <c r="K733" i="4" a="1"/>
  <c r="K733" i="4" s="1"/>
  <c r="K734" i="4" a="1"/>
  <c r="K734" i="4" s="1"/>
  <c r="K735" i="4" a="1"/>
  <c r="K735" i="4"/>
  <c r="K736" i="4" a="1"/>
  <c r="K736" i="4" s="1"/>
  <c r="K737" i="4" a="1"/>
  <c r="K737" i="4"/>
  <c r="K738" i="4" a="1"/>
  <c r="K738" i="4" s="1"/>
  <c r="K739" i="4" a="1"/>
  <c r="K739" i="4" s="1"/>
  <c r="K740" i="4" a="1"/>
  <c r="K740" i="4"/>
  <c r="K741" i="4" a="1"/>
  <c r="K741" i="4" s="1"/>
  <c r="K742" i="4" a="1"/>
  <c r="K742" i="4" s="1"/>
  <c r="K743" i="4" a="1"/>
  <c r="K743" i="4"/>
  <c r="K744" i="4" a="1"/>
  <c r="K744" i="4"/>
  <c r="K745" i="4" a="1"/>
  <c r="K745" i="4" s="1"/>
  <c r="K746" i="4" a="1"/>
  <c r="K746" i="4" s="1"/>
  <c r="K747" i="4" a="1"/>
  <c r="K747" i="4" s="1"/>
  <c r="K748" i="4" a="1"/>
  <c r="K748" i="4" s="1"/>
  <c r="K749" i="4" a="1"/>
  <c r="K749" i="4"/>
  <c r="K750" i="4" a="1"/>
  <c r="K750" i="4" s="1"/>
  <c r="K751" i="4" a="1"/>
  <c r="K751" i="4"/>
  <c r="K752" i="4" a="1"/>
  <c r="K752" i="4" s="1"/>
  <c r="K753" i="4" a="1"/>
  <c r="K753" i="4"/>
  <c r="K754" i="4" a="1"/>
  <c r="K754" i="4" s="1"/>
  <c r="K755" i="4" a="1"/>
  <c r="K755" i="4"/>
  <c r="K756" i="4" a="1"/>
  <c r="K756" i="4" s="1"/>
  <c r="K757" i="4" a="1"/>
  <c r="K757" i="4" s="1"/>
  <c r="K758" i="4" a="1"/>
  <c r="K758" i="4" s="1"/>
  <c r="K759" i="4" a="1"/>
  <c r="K759" i="4"/>
  <c r="K760" i="4" a="1"/>
  <c r="K760" i="4" s="1"/>
  <c r="K761" i="4" a="1"/>
  <c r="K761" i="4"/>
  <c r="K762" i="4" a="1"/>
  <c r="K762" i="4" s="1"/>
  <c r="K763" i="4" a="1"/>
  <c r="K763" i="4"/>
  <c r="K764" i="4" a="1"/>
  <c r="K764" i="4"/>
  <c r="K765" i="4" a="1"/>
  <c r="K765" i="4" s="1"/>
  <c r="K766" i="4" a="1"/>
  <c r="K766" i="4" s="1"/>
  <c r="K767" i="4" a="1"/>
  <c r="K767" i="4"/>
  <c r="K768" i="4" a="1"/>
  <c r="K768" i="4"/>
  <c r="K769" i="4" a="1"/>
  <c r="K769" i="4" s="1"/>
  <c r="K770" i="4" a="1"/>
  <c r="K770" i="4" s="1"/>
  <c r="K771" i="4" a="1"/>
  <c r="K771" i="4" s="1"/>
  <c r="K772" i="4" a="1"/>
  <c r="K772" i="4"/>
  <c r="K773" i="4" a="1"/>
  <c r="K773" i="4"/>
  <c r="K774" i="4" a="1"/>
  <c r="K774" i="4" s="1"/>
  <c r="K775" i="4" a="1"/>
  <c r="K775" i="4" s="1"/>
  <c r="K776" i="4" a="1"/>
  <c r="K776" i="4"/>
  <c r="K777" i="4" a="1"/>
  <c r="K777" i="4" s="1"/>
  <c r="K778" i="4" a="1"/>
  <c r="K778" i="4" s="1"/>
  <c r="K779" i="4" a="1"/>
  <c r="K779" i="4" s="1"/>
  <c r="K780" i="4" a="1"/>
  <c r="K780" i="4" s="1"/>
  <c r="K781" i="4" a="1"/>
  <c r="K781" i="4"/>
  <c r="K782" i="4" a="1"/>
  <c r="K782" i="4" s="1"/>
  <c r="K783" i="4" a="1"/>
  <c r="K783" i="4" s="1"/>
  <c r="K784" i="4" a="1"/>
  <c r="K784" i="4" s="1"/>
  <c r="K785" i="4" a="1"/>
  <c r="K785" i="4"/>
  <c r="K786" i="4" a="1"/>
  <c r="K786" i="4" s="1"/>
  <c r="K787" i="4" a="1"/>
  <c r="K787" i="4" s="1"/>
  <c r="K788" i="4" a="1"/>
  <c r="K788" i="4" s="1"/>
  <c r="K789" i="4" a="1"/>
  <c r="K789" i="4" s="1"/>
  <c r="K790" i="4" a="1"/>
  <c r="K790" i="4" s="1"/>
  <c r="K791" i="4" a="1"/>
  <c r="K791" i="4"/>
  <c r="K792" i="4" a="1"/>
  <c r="K792" i="4" s="1"/>
  <c r="K793" i="4" a="1"/>
  <c r="K793" i="4" s="1"/>
  <c r="K794" i="4" a="1"/>
  <c r="K794" i="4" s="1"/>
  <c r="K795" i="4" a="1"/>
  <c r="K795" i="4"/>
  <c r="K796" i="4" a="1"/>
  <c r="K796" i="4"/>
  <c r="K797" i="4" a="1"/>
  <c r="K797" i="4" s="1"/>
  <c r="K798" i="4" a="1"/>
  <c r="K798" i="4" s="1"/>
  <c r="K799" i="4" a="1"/>
  <c r="K799" i="4"/>
  <c r="K800" i="4" a="1"/>
  <c r="K800" i="4"/>
  <c r="K801" i="4" a="1"/>
  <c r="K801" i="4" s="1"/>
  <c r="K802" i="4" a="1"/>
  <c r="K802" i="4" s="1"/>
  <c r="K803" i="4" a="1"/>
  <c r="K803" i="4" s="1"/>
  <c r="K804" i="4" a="1"/>
  <c r="K804" i="4"/>
  <c r="K805" i="4" a="1"/>
  <c r="K805" i="4"/>
  <c r="K806" i="4" a="1"/>
  <c r="K806" i="4" s="1"/>
  <c r="K807" i="4" a="1"/>
  <c r="K807" i="4" s="1"/>
  <c r="K808" i="4" a="1"/>
  <c r="K808" i="4"/>
  <c r="K809" i="4" a="1"/>
  <c r="K809" i="4"/>
  <c r="K810" i="4" a="1"/>
  <c r="K810" i="4" s="1"/>
  <c r="K811" i="4" a="1"/>
  <c r="K811" i="4" s="1"/>
  <c r="K812" i="4" a="1"/>
  <c r="K812" i="4" s="1"/>
  <c r="K813" i="4" a="1"/>
  <c r="K813" i="4"/>
  <c r="K814" i="4" a="1"/>
  <c r="K814" i="4" s="1"/>
  <c r="K815" i="4" a="1"/>
  <c r="K815" i="4"/>
  <c r="K816" i="4" a="1"/>
  <c r="K816" i="4" s="1"/>
  <c r="K817" i="4" a="1"/>
  <c r="K817" i="4"/>
  <c r="K818" i="4" a="1"/>
  <c r="K818" i="4" s="1"/>
  <c r="K819" i="4" a="1"/>
  <c r="K819" i="4" s="1"/>
  <c r="K820" i="4" a="1"/>
  <c r="K820" i="4" s="1"/>
  <c r="K821" i="4" a="1"/>
  <c r="K821" i="4" s="1"/>
  <c r="K822" i="4" a="1"/>
  <c r="K822" i="4" s="1"/>
  <c r="K823" i="4" a="1"/>
  <c r="K823" i="4"/>
  <c r="K824" i="4" a="1"/>
  <c r="K824" i="4"/>
  <c r="K825" i="4" a="1"/>
  <c r="K825" i="4" s="1"/>
  <c r="K826" i="4" a="1"/>
  <c r="K826" i="4" s="1"/>
  <c r="K827" i="4" a="1"/>
  <c r="K827" i="4"/>
  <c r="K828" i="4" a="1"/>
  <c r="K828" i="4"/>
  <c r="K829" i="4" a="1"/>
  <c r="K829" i="4" s="1"/>
  <c r="K830" i="4" a="1"/>
  <c r="K830" i="4" s="1"/>
  <c r="K831" i="4" a="1"/>
  <c r="K831" i="4"/>
  <c r="K832" i="4" a="1"/>
  <c r="K832" i="4" s="1"/>
  <c r="K833" i="4" a="1"/>
  <c r="K833" i="4"/>
  <c r="K834" i="4" a="1"/>
  <c r="K834" i="4" s="1"/>
  <c r="K835" i="4" a="1"/>
  <c r="K835" i="4" s="1"/>
  <c r="K836" i="4" a="1"/>
  <c r="K836" i="4"/>
  <c r="K837" i="4" a="1"/>
  <c r="K837" i="4" s="1"/>
  <c r="K838" i="4" a="1"/>
  <c r="K838" i="4" s="1"/>
  <c r="K839" i="4" a="1"/>
  <c r="K839" i="4" s="1"/>
  <c r="K840" i="4" a="1"/>
  <c r="K840" i="4"/>
  <c r="K841" i="4" a="1"/>
  <c r="K841" i="4" s="1"/>
  <c r="K842" i="4" a="1"/>
  <c r="K842" i="4" s="1"/>
  <c r="K843" i="4" a="1"/>
  <c r="K843" i="4" s="1"/>
  <c r="K844" i="4" a="1"/>
  <c r="K844" i="4" s="1"/>
  <c r="K845" i="4" a="1"/>
  <c r="K845" i="4"/>
  <c r="K846" i="4" a="1"/>
  <c r="K846" i="4" s="1"/>
  <c r="K847" i="4" a="1"/>
  <c r="K847" i="4" s="1"/>
  <c r="K848" i="4" a="1"/>
  <c r="K848" i="4" s="1"/>
  <c r="K849" i="4" a="1"/>
  <c r="K849" i="4"/>
  <c r="K850" i="4" a="1"/>
  <c r="K850" i="4" s="1"/>
  <c r="K851" i="4" a="1"/>
  <c r="K851" i="4" s="1"/>
  <c r="K852" i="4" a="1"/>
  <c r="K852" i="4" s="1"/>
  <c r="K853" i="4" a="1"/>
  <c r="K853" i="4" s="1"/>
  <c r="K854" i="4" a="1"/>
  <c r="K854" i="4" s="1"/>
  <c r="K855" i="4" a="1"/>
  <c r="K855" i="4"/>
  <c r="K856" i="4" a="1"/>
  <c r="K856" i="4"/>
  <c r="K857" i="4" a="1"/>
  <c r="K857" i="4" s="1"/>
  <c r="K858" i="4" a="1"/>
  <c r="K858" i="4" s="1"/>
  <c r="K859" i="4" a="1"/>
  <c r="K859" i="4"/>
  <c r="K860" i="4" a="1"/>
  <c r="K860" i="4"/>
  <c r="K861" i="4" a="1"/>
  <c r="K861" i="4" s="1"/>
  <c r="K862" i="4" a="1"/>
  <c r="K862" i="4" s="1"/>
  <c r="K863" i="4" a="1"/>
  <c r="K863" i="4"/>
  <c r="K864" i="4" a="1"/>
  <c r="K864" i="4"/>
  <c r="K865" i="4" a="1"/>
  <c r="K865" i="4"/>
  <c r="K866" i="4" a="1"/>
  <c r="K866" i="4" s="1"/>
  <c r="K867" i="4" a="1"/>
  <c r="K867" i="4" s="1"/>
  <c r="K868" i="4" a="1"/>
  <c r="K868" i="4"/>
  <c r="K869" i="4" a="1"/>
  <c r="K869" i="4"/>
  <c r="K870" i="4" a="1"/>
  <c r="K870" i="4" s="1"/>
  <c r="K871" i="4" a="1"/>
  <c r="K871" i="4" s="1"/>
  <c r="K872" i="4" a="1"/>
  <c r="K872" i="4"/>
  <c r="K873" i="4" a="1"/>
  <c r="K873" i="4" s="1"/>
  <c r="K874" i="4" a="1"/>
  <c r="K874" i="4" s="1"/>
  <c r="K875" i="4" a="1"/>
  <c r="K875" i="4" s="1"/>
  <c r="K876" i="4" a="1"/>
  <c r="K876" i="4" s="1"/>
  <c r="K877" i="4" a="1"/>
  <c r="K877" i="4"/>
  <c r="K878" i="4" a="1"/>
  <c r="K878" i="4" s="1"/>
  <c r="K879" i="4" a="1"/>
  <c r="K879" i="4" s="1"/>
  <c r="K880" i="4" a="1"/>
  <c r="K880" i="4" s="1"/>
  <c r="K881" i="4" a="1"/>
  <c r="K881" i="4"/>
  <c r="K882" i="4" a="1"/>
  <c r="K882" i="4" s="1"/>
  <c r="K883" i="4" a="1"/>
  <c r="K883" i="4" s="1"/>
  <c r="K884" i="4" a="1"/>
  <c r="K884" i="4" s="1"/>
  <c r="K885" i="4" a="1"/>
  <c r="K885" i="4" s="1"/>
  <c r="K886" i="4" a="1"/>
  <c r="K886" i="4" s="1"/>
  <c r="K887" i="4" a="1"/>
  <c r="K887" i="4" s="1"/>
  <c r="K888" i="4" a="1"/>
  <c r="K888" i="4"/>
  <c r="K889" i="4" a="1"/>
  <c r="K889" i="4" s="1"/>
  <c r="K890" i="4" a="1"/>
  <c r="K890" i="4" s="1"/>
  <c r="K891" i="4" a="1"/>
  <c r="K891" i="4"/>
  <c r="K892" i="4" a="1"/>
  <c r="K892" i="4" s="1"/>
  <c r="K893" i="4" a="1"/>
  <c r="K893" i="4" s="1"/>
  <c r="K894" i="4" a="1"/>
  <c r="K894" i="4" s="1"/>
  <c r="K895" i="4" a="1"/>
  <c r="K895" i="4"/>
  <c r="K896" i="4" a="1"/>
  <c r="K896" i="4" s="1"/>
  <c r="K897" i="4" a="1"/>
  <c r="K897" i="4" s="1"/>
  <c r="K898" i="4" a="1"/>
  <c r="K898" i="4" s="1"/>
  <c r="K899" i="4" a="1"/>
  <c r="K899" i="4"/>
  <c r="K900" i="4" a="1"/>
  <c r="K900" i="4"/>
  <c r="K901" i="4" a="1"/>
  <c r="K901" i="4" s="1"/>
  <c r="K902" i="4" a="1"/>
  <c r="K902" i="4" s="1"/>
  <c r="K903" i="4" a="1"/>
  <c r="K903" i="4"/>
  <c r="K904" i="4" a="1"/>
  <c r="K904" i="4"/>
  <c r="K905" i="4" a="1"/>
  <c r="K905" i="4" s="1"/>
  <c r="K906" i="4" a="1"/>
  <c r="K906" i="4" s="1"/>
  <c r="K907" i="4" a="1"/>
  <c r="K907" i="4"/>
  <c r="K908" i="4" a="1"/>
  <c r="K908" i="4" s="1"/>
  <c r="K909" i="4" a="1"/>
  <c r="K909" i="4" s="1"/>
  <c r="K910" i="4" a="1"/>
  <c r="K910" i="4" s="1"/>
  <c r="K911" i="4" a="1"/>
  <c r="K911" i="4"/>
  <c r="K912" i="4" a="1"/>
  <c r="K912" i="4" s="1"/>
  <c r="K913" i="4" a="1"/>
  <c r="K913" i="4" s="1"/>
  <c r="K914" i="4" a="1"/>
  <c r="K914" i="4" s="1"/>
  <c r="K915" i="4" a="1"/>
  <c r="K915" i="4"/>
  <c r="K916" i="4" a="1"/>
  <c r="K916" i="4" s="1"/>
  <c r="K917" i="4" a="1"/>
  <c r="K917" i="4" s="1"/>
  <c r="K918" i="4" a="1"/>
  <c r="K918" i="4" s="1"/>
  <c r="K919" i="4" a="1"/>
  <c r="K919" i="4"/>
  <c r="K920" i="4" a="1"/>
  <c r="K920" i="4"/>
  <c r="K921" i="4" a="1"/>
  <c r="K921" i="4" s="1"/>
  <c r="K922" i="4" a="1"/>
  <c r="K922" i="4" s="1"/>
  <c r="K923" i="4" a="1"/>
  <c r="K923" i="4"/>
  <c r="K924" i="4" a="1"/>
  <c r="K924" i="4" s="1"/>
  <c r="K925" i="4" a="1"/>
  <c r="K925" i="4" s="1"/>
  <c r="K926" i="4" a="1"/>
  <c r="K926" i="4" s="1"/>
  <c r="K927" i="4" a="1"/>
  <c r="K927" i="4"/>
  <c r="K928" i="4" a="1"/>
  <c r="K928" i="4" s="1"/>
  <c r="K929" i="4" a="1"/>
  <c r="K929" i="4" s="1"/>
  <c r="K930" i="4" a="1"/>
  <c r="K930" i="4" s="1"/>
  <c r="K931" i="4" a="1"/>
  <c r="K931" i="4"/>
  <c r="K932" i="4" a="1"/>
  <c r="K932" i="4" s="1"/>
  <c r="K933" i="4" a="1"/>
  <c r="K933" i="4" s="1"/>
  <c r="K934" i="4" a="1"/>
  <c r="K934" i="4" s="1"/>
  <c r="K935" i="4" a="1"/>
  <c r="K935" i="4" s="1"/>
  <c r="K936" i="4" a="1"/>
  <c r="K936" i="4"/>
  <c r="K937" i="4" a="1"/>
  <c r="K937" i="4" s="1"/>
  <c r="K938" i="4" a="1"/>
  <c r="K938" i="4" s="1"/>
  <c r="K939" i="4" a="1"/>
  <c r="K939" i="4" s="1"/>
  <c r="K940" i="4" a="1"/>
  <c r="K940" i="4" s="1"/>
  <c r="K941" i="4" a="1"/>
  <c r="K941" i="4" s="1"/>
  <c r="K942" i="4" a="1"/>
  <c r="K942" i="4" s="1"/>
  <c r="K943" i="4" a="1"/>
  <c r="K943" i="4" s="1"/>
  <c r="K944" i="4" a="1"/>
  <c r="K944" i="4" s="1"/>
  <c r="K945" i="4" a="1"/>
  <c r="K945" i="4" s="1"/>
  <c r="K946" i="4" a="1"/>
  <c r="K946" i="4" s="1"/>
  <c r="K947" i="4" a="1"/>
  <c r="K947" i="4"/>
  <c r="K948" i="4" a="1"/>
  <c r="K948" i="4" s="1"/>
  <c r="K949" i="4" a="1"/>
  <c r="K949" i="4" s="1"/>
  <c r="K950" i="4" a="1"/>
  <c r="K950" i="4" s="1"/>
  <c r="K951" i="4" a="1"/>
  <c r="K951" i="4" s="1"/>
  <c r="K952" i="4" a="1"/>
  <c r="K952" i="4"/>
  <c r="K953" i="4" a="1"/>
  <c r="K953" i="4" s="1"/>
  <c r="K954" i="4" a="1"/>
  <c r="K954" i="4" s="1"/>
  <c r="K955" i="4" a="1"/>
  <c r="K955" i="4" s="1"/>
  <c r="K956" i="4" a="1"/>
  <c r="K956" i="4" s="1"/>
  <c r="K957" i="4" a="1"/>
  <c r="K957" i="4" s="1"/>
  <c r="K958" i="4" a="1"/>
  <c r="K958" i="4" s="1"/>
  <c r="K959" i="4" a="1"/>
  <c r="K959" i="4" s="1"/>
  <c r="K960" i="4" a="1"/>
  <c r="K960" i="4" s="1"/>
  <c r="K961" i="4" a="1"/>
  <c r="K961" i="4" s="1"/>
  <c r="K962" i="4" a="1"/>
  <c r="K962" i="4" s="1"/>
  <c r="K963" i="4" a="1"/>
  <c r="K963" i="4"/>
  <c r="K964" i="4" a="1"/>
  <c r="K964" i="4" s="1"/>
  <c r="K965" i="4" a="1"/>
  <c r="K965" i="4" s="1"/>
  <c r="K966" i="4" a="1"/>
  <c r="K966" i="4" s="1"/>
  <c r="K967" i="4" a="1"/>
  <c r="K967" i="4" s="1"/>
  <c r="K968" i="4" a="1"/>
  <c r="K968" i="4"/>
  <c r="K969" i="4" a="1"/>
  <c r="K969" i="4" s="1"/>
  <c r="K970" i="4" a="1"/>
  <c r="K970" i="4" s="1"/>
  <c r="K971" i="4" a="1"/>
  <c r="K971" i="4" s="1"/>
  <c r="K972" i="4" a="1"/>
  <c r="K972" i="4" s="1"/>
  <c r="K973" i="4" a="1"/>
  <c r="K973" i="4" s="1"/>
  <c r="K974" i="4" a="1"/>
  <c r="K974" i="4" s="1"/>
  <c r="K975" i="4" a="1"/>
  <c r="K975" i="4" s="1"/>
  <c r="K976" i="4" a="1"/>
  <c r="K976" i="4" s="1"/>
  <c r="K977" i="4" a="1"/>
  <c r="K977" i="4" s="1"/>
  <c r="K978" i="4" a="1"/>
  <c r="K978" i="4" s="1"/>
  <c r="K979" i="4" a="1"/>
  <c r="K979" i="4"/>
  <c r="K980" i="4" a="1"/>
  <c r="K980" i="4"/>
  <c r="K981" i="4" a="1"/>
  <c r="K981" i="4" s="1"/>
  <c r="K982" i="4" a="1"/>
  <c r="K982" i="4" s="1"/>
  <c r="K983" i="4" a="1"/>
  <c r="K983" i="4" s="1"/>
  <c r="K984" i="4" a="1"/>
  <c r="K984" i="4"/>
  <c r="K985" i="4" a="1"/>
  <c r="K985" i="4" s="1"/>
  <c r="K986" i="4" a="1"/>
  <c r="K986" i="4" s="1"/>
  <c r="K987" i="4" a="1"/>
  <c r="K987" i="4" s="1"/>
  <c r="K988" i="4" a="1"/>
  <c r="K988" i="4" s="1"/>
  <c r="K989" i="4" a="1"/>
  <c r="K989" i="4" s="1"/>
  <c r="K990" i="4" a="1"/>
  <c r="K990" i="4" s="1"/>
  <c r="K991" i="4" a="1"/>
  <c r="K991" i="4"/>
  <c r="K992" i="4" a="1"/>
  <c r="K992" i="4" s="1"/>
  <c r="K993" i="4" a="1"/>
  <c r="K993" i="4" s="1"/>
  <c r="K994" i="4" a="1"/>
  <c r="K994" i="4" s="1"/>
  <c r="K995" i="4" a="1"/>
  <c r="K995" i="4"/>
  <c r="K996" i="4" a="1"/>
  <c r="K996" i="4"/>
  <c r="K997" i="4" a="1"/>
  <c r="K997" i="4" s="1"/>
  <c r="K998" i="4" a="1"/>
  <c r="K998" i="4" s="1"/>
  <c r="K999" i="4" a="1"/>
  <c r="K999" i="4" s="1"/>
  <c r="K1000" i="4" a="1"/>
  <c r="K1000" i="4"/>
  <c r="K1001" i="4" a="1"/>
  <c r="K1001" i="4"/>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C93" i="6"/>
  <c r="C92" i="6"/>
  <c r="C9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049FA5-B9A3-3543-9CE2-DC649E6DF95F}" keepAlive="1" name="Sorgu - retail_sales_dataset" description="Çalışma kitabındaki 'retail_sales_dataset' sorgusuna yönelik bağlantı." type="5" refreshedVersion="8" background="1" saveData="1">
    <dbPr connection="Provider=Microsoft.Mashup.OleDb.1;Data Source=$Workbook$;Location=retail_sales_dataset;Extended Properties=&quot;&quot;" command="SELECT * FROM [retail_sales_dataset]"/>
  </connection>
  <connection id="2" xr16:uid="{BFF27B9E-CC65-3C4E-8B2A-19FF95C48FFE}" keepAlive="1" name="Sorgu - retail_sales_dataset (2)" description="Çalışma kitabındaki 'retail_sales_dataset (2)' sorgusuna yönelik bağlantı." type="5" refreshedVersion="8" background="1" saveData="1">
    <dbPr connection="Provider=Microsoft.Mashup.OleDb.1;Data Source=$Workbook$;Location=&quot;retail_sales_dataset (2)&quot;;Extended Properties=&quot;&quot;" command="SELECT * FROM [retail_sales_dataset (2)]"/>
  </connection>
  <connection id="3" xr16:uid="{DD29A102-178C-1E43-9EED-1FA93FBDA604}" keepAlive="1" name="Sorgu - retail_sales_dataset (3)" description="Çalışma kitabındaki 'retail_sales_dataset (3)' sorgusuna yönelik bağlantı." type="5" refreshedVersion="8" background="1" saveData="1">
    <dbPr connection="Provider=Microsoft.Mashup.OleDb.1;Data Source=$Workbook$;Location=&quot;retail_sales_dataset (3)&quot;;Extended Properties=&quot;&quot;" command="SELECT * FROM [retail_sales_dataset (3)]"/>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<sst xmlns="http://schemas.openxmlformats.org/spreadsheetml/2006/main" count="6086" uniqueCount="1048">
  <si>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</si>
  <si>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</si>
  <si>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</si>
  <si>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</si>
  <si>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</si>
  <si>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</si>
  <si>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</si>
  <si>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</si>
  <si>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</si>
  <si>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</si>
  <si>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</si>
  <si>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</si>
  <si>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</si>
  <si>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</si>
  <si>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</si>
  <si>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</si>
  <si>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</si>
  <si>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</si>
  <si>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</si>
  <si>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</si>
  <si>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</si>
  <si>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</si>
  <si>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</si>
  <si>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</si>
  <si>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</si>
  <si>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</si>
  <si>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</si>
  <si>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</si>
  <si>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</si>
  <si>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</si>
  <si>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</si>
  <si>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</si>
  <si>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</si>
  <si>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</si>
  <si>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</si>
  <si>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</si>
  <si>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</si>
  <si>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</si>
  <si>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</si>
  <si>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</si>
  <si>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</si>
  <si>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</si>
  <si>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</si>
  <si>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</si>
  <si>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</si>
  <si>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</si>
  <si>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</si>
  <si>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</si>
  <si>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</si>
  <si>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</si>
  <si>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</si>
  <si>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</si>
  <si>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</si>
  <si>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</si>
  <si>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</si>
  <si>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</si>
  <si>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</si>
  <si>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</si>
  <si>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</si>
  <si>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</si>
  <si>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</si>
  <si>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</si>
  <si>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</si>
  <si>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</si>
  <si>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</si>
  <si>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</si>
  <si>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</si>
  <si>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</si>
  <si>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</si>
  <si>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</si>
  <si>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</si>
  <si>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</si>
  <si>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</si>
  <si>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</si>
  <si>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</si>
  <si>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</si>
  <si>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</si>
  <si>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</si>
  <si>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</si>
  <si>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</si>
  <si>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</si>
  <si>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</si>
  <si>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</si>
  <si>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</si>
  <si>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</si>
  <si>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</si>
  <si>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</si>
  <si>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</si>
  <si>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</si>
  <si>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</si>
  <si>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</si>
  <si>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</si>
  <si>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</si>
  <si>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</si>
  <si>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</si>
  <si>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</si>
  <si>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</si>
  <si>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</si>
  <si>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</si>
  <si>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</si>
  <si>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</si>
  <si>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</si>
  <si>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</si>
  <si>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</si>
  <si>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</si>
  <si>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</si>
  <si>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</si>
  <si>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</si>
  <si>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</si>
  <si>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</si>
  <si>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</si>
  <si>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</si>
  <si>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</si>
  <si>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</si>
  <si>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</si>
  <si>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</si>
  <si>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</si>
  <si>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</si>
  <si>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</si>
  <si>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</si>
  <si>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</si>
  <si>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</si>
  <si>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</si>
  <si>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</si>
  <si>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</si>
  <si>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</si>
  <si>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</si>
  <si>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</si>
  <si>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</si>
  <si>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</si>
  <si>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</si>
  <si>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</si>
  <si>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</si>
  <si>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</si>
  <si>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</si>
  <si>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</si>
  <si>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</si>
  <si>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</si>
  <si>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</si>
  <si>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</si>
  <si>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</si>
  <si>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</si>
  <si>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</si>
  <si>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</si>
  <si>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</si>
  <si>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</si>
  <si>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</si>
  <si>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</si>
  <si>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</si>
  <si>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</si>
  <si>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</si>
  <si>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</si>
  <si>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</si>
  <si>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</si>
  <si>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</si>
  <si>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</si>
  <si>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</si>
  <si>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</si>
  <si>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</si>
  <si>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</si>
  <si>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</si>
  <si>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</si>
  <si>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</si>
  <si>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</si>
  <si>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</si>
  <si>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</si>
  <si>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</si>
  <si>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</si>
  <si>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</si>
  <si>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</si>
  <si>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</si>
  <si>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</si>
  <si>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</si>
  <si>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</si>
  <si>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</si>
  <si>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</si>
  <si>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</si>
  <si>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</si>
  <si>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</si>
  <si>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</si>
  <si>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</si>
  <si>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</si>
  <si>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</si>
  <si>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</si>
  <si>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</si>
  <si>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</si>
  <si>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</si>
  <si>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</si>
  <si>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</si>
  <si>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</si>
  <si>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</si>
  <si>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</si>
  <si>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</si>
  <si>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</si>
  <si>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</si>
  <si>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</si>
  <si>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</si>
  <si>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</si>
  <si>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</si>
  <si>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</si>
  <si>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</si>
  <si>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</si>
  <si>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</si>
  <si>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</si>
  <si>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</si>
  <si>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</si>
  <si>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</si>
  <si>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</si>
  <si>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</si>
  <si>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</si>
  <si>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</si>
  <si>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</si>
  <si>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</si>
  <si>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</si>
  <si>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</si>
  <si>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</si>
  <si>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</si>
  <si>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</si>
  <si>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</si>
  <si>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</si>
  <si>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</si>
  <si>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</si>
  <si>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</si>
  <si>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</si>
  <si>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</si>
  <si>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</si>
  <si>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</si>
  <si>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</si>
  <si>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</si>
  <si>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</si>
  <si>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</si>
  <si>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</si>
  <si>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</si>
  <si>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</si>
  <si>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</si>
  <si>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</si>
  <si>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</si>
  <si>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</si>
  <si>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</si>
  <si>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</si>
  <si>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</si>
  <si>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</si>
  <si>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</si>
  <si>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</si>
  <si>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</si>
  <si>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</si>
  <si>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</si>
  <si>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</si>
  <si>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</si>
  <si>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</si>
  <si>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</si>
  <si>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</si>
  <si>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</si>
  <si>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</si>
  <si>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</si>
  <si>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</si>
  <si>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</si>
  <si>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</si>
  <si>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</si>
  <si>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</si>
  <si>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</si>
  <si>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</si>
  <si>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</si>
  <si>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</si>
  <si>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</si>
  <si>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</si>
  <si>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</si>
  <si>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</si>
  <si>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</si>
  <si>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</si>
  <si>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</si>
  <si>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</si>
  <si>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</si>
  <si>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</si>
  <si>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</si>
  <si>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</si>
  <si>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</si>
  <si>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</si>
  <si>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</si>
  <si>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</si>
  <si>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</si>
  <si>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</si>
  <si>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</si>
  <si>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</si>
  <si>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</si>
  <si>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</si>
  <si>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</si>
  <si>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</si>
  <si>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</si>
  <si>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</si>
  <si>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</si>
  <si>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</si>
  <si>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</si>
  <si>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</si>
  <si>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</si>
  <si>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</si>
  <si>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</si>
  <si>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</si>
  <si>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</si>
  <si>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</si>
  <si>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</si>
  <si>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</si>
  <si>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</si>
  <si>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</si>
  <si>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</si>
  <si>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</si>
  <si>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</si>
  <si>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</si>
  <si>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</si>
  <si>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</si>
  <si>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</si>
  <si>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</si>
  <si>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</si>
  <si>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</si>
  <si>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</si>
  <si>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</si>
  <si>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</si>
  <si>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</si>
  <si>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</si>
  <si>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</si>
  <si>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</si>
  <si>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</si>
  <si>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</si>
  <si>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</si>
  <si>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</si>
  <si>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</si>
  <si>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</si>
  <si>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</si>
  <si>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</si>
  <si>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</si>
  <si>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</si>
  <si>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</si>
  <si>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</si>
  <si>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</si>
  <si>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</si>
  <si>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</si>
  <si>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</si>
  <si>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</si>
  <si>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</si>
  <si>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</si>
  <si>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</si>
  <si>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</si>
  <si>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</si>
  <si>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</si>
  <si>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</si>
  <si>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</si>
  <si>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</si>
  <si>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</si>
  <si>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</si>
  <si>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</si>
  <si>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</si>
  <si>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</si>
  <si>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</si>
  <si>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</si>
  <si>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</si>
  <si>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</si>
  <si>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</si>
  <si>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</si>
  <si>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</si>
  <si>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</si>
  <si>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</si>
  <si>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</si>
  <si>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</si>
  <si>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</si>
  <si>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</si>
  <si>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</si>
  <si>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</si>
  <si>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</si>
  <si>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</si>
  <si>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</si>
  <si>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</si>
  <si>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</si>
  <si>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</si>
  <si>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</si>
  <si>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</si>
  <si>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</si>
  <si>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</si>
  <si>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</si>
  <si>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</si>
  <si>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</si>
  <si>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</si>
  <si>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</si>
  <si>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</si>
  <si>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</si>
  <si>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</si>
  <si>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</si>
  <si>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</si>
  <si>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</si>
  <si>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</si>
  <si>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</si>
  <si>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</si>
  <si>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</si>
  <si>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</si>
  <si>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</si>
  <si>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</si>
  <si>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</si>
  <si>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</si>
  <si>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</si>
  <si>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</si>
  <si>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</si>
  <si>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</si>
  <si>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</si>
  <si>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</si>
  <si>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</si>
  <si>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</si>
  <si>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</si>
  <si>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</si>
  <si>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</si>
  <si>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</si>
  <si>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</si>
  <si>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</si>
  <si>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</si>
  <si>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</si>
  <si>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</si>
  <si>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</si>
  <si>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</si>
  <si>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</si>
  <si>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</si>
  <si>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</si>
  <si>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</si>
  <si>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</si>
  <si>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</si>
  <si>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</si>
  <si>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</si>
  <si>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</si>
  <si>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</si>
  <si>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</si>
  <si>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</si>
  <si>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</si>
  <si>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</si>
  <si>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</si>
  <si>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</si>
  <si>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</si>
  <si>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</si>
  <si>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</si>
  <si>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</si>
  <si>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</si>
  <si>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</si>
  <si>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</si>
  <si>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</si>
  <si>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</si>
  <si>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</si>
  <si>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</si>
  <si>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</si>
  <si>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</si>
  <si>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</si>
  <si>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</si>
  <si>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</si>
  <si>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</si>
  <si>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</si>
  <si>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</si>
  <si>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</si>
  <si>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</si>
  <si>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</si>
  <si>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</si>
  <si>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</si>
  <si>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</si>
  <si>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</si>
  <si>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</si>
  <si>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</si>
  <si>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</si>
  <si>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</si>
  <si>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</si>
  <si>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</si>
  <si>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</si>
  <si>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</si>
  <si>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</si>
  <si>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</si>
  <si>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</si>
  <si>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</si>
  <si>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</si>
  <si>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</si>
  <si>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</si>
  <si>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</si>
  <si>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</si>
  <si>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</si>
  <si>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</si>
  <si>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</si>
  <si>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</si>
  <si>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</si>
  <si>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</si>
  <si>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</si>
  <si>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</si>
  <si>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</si>
  <si>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</si>
  <si>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</si>
  <si>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</si>
  <si>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</si>
  <si>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</si>
  <si>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</si>
  <si>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</si>
  <si>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</si>
  <si>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</si>
  <si>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</si>
  <si>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</si>
  <si>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</si>
  <si>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</si>
  <si>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</si>
  <si>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</si>
  <si>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</si>
  <si>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</si>
  <si>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</si>
  <si>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</si>
  <si>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</si>
  <si>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</si>
  <si>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</si>
  <si>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</si>
  <si>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</si>
  <si>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</si>
  <si>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</si>
  <si>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</si>
  <si>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</si>
  <si>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</si>
  <si>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</si>
  <si>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</si>
  <si>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</si>
  <si>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</si>
  <si>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</si>
  <si>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</si>
  <si>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</si>
  <si>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</si>
  <si>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</si>
  <si>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</si>
  <si>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</si>
  <si>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</si>
  <si>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</si>
  <si>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</si>
  <si>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</si>
  <si>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</si>
  <si>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</si>
  <si>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</si>
  <si>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</si>
  <si>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</si>
  <si>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</si>
  <si>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</si>
  <si>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</si>
  <si>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</si>
  <si>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</si>
  <si>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</si>
  <si>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</si>
  <si>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</si>
  <si>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</si>
  <si>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</si>
  <si>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</si>
  <si>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</si>
  <si>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</si>
  <si>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</si>
  <si>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</si>
  <si>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</si>
  <si>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</si>
  <si>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</si>
  <si>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</si>
  <si>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</si>
  <si>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</si>
  <si>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</si>
  <si>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</si>
  <si>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</si>
  <si>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</si>
  <si>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</si>
  <si>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</si>
  <si>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</si>
  <si>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</si>
  <si>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</si>
  <si>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</si>
  <si>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</si>
  <si>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</si>
  <si>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</si>
  <si>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</si>
  <si>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</si>
  <si>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</si>
  <si>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</si>
  <si>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</si>
  <si>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</si>
  <si>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</si>
  <si>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</si>
  <si>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</si>
  <si>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</si>
  <si>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</si>
  <si>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</si>
  <si>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</si>
  <si>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</si>
  <si>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</si>
  <si>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</si>
  <si>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</si>
  <si>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</si>
  <si>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</si>
  <si>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</si>
  <si>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</si>
  <si>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</si>
  <si>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</si>
  <si>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</si>
  <si>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</si>
  <si>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</si>
  <si>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</si>
  <si>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</si>
  <si>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</si>
  <si>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</si>
  <si>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</si>
  <si>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</si>
  <si>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</si>
  <si>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</si>
  <si>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</si>
  <si>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</si>
  <si>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</si>
  <si>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</si>
  <si>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</si>
  <si>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</si>
  <si>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</si>
  <si>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</si>
  <si>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</si>
  <si>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</si>
  <si>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</si>
  <si>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</si>
  <si>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</si>
  <si>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</si>
  <si>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</si>
  <si>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</si>
  <si>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</si>
  <si>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</si>
  <si>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</si>
  <si>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</si>
  <si>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</si>
  <si>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</si>
  <si>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</si>
  <si>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</si>
  <si>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</si>
  <si>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</si>
  <si>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</si>
  <si>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</si>
  <si>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</si>
  <si>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</si>
  <si>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</si>
  <si>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</si>
  <si>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</si>
  <si>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</si>
  <si>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</si>
  <si>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</si>
  <si>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</si>
  <si>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</si>
  <si>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</si>
  <si>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</si>
  <si>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</si>
  <si>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</si>
  <si>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</si>
  <si>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</si>
  <si>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</si>
  <si>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</si>
  <si>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</si>
  <si>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</si>
  <si>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</si>
  <si>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</si>
  <si>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</si>
  <si>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</si>
  <si>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</si>
  <si>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</si>
  <si>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</si>
  <si>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</si>
  <si>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</si>
  <si>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</si>
  <si>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</si>
  <si>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</si>
  <si>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</si>
  <si>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</si>
  <si>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</si>
  <si>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</si>
  <si>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</si>
  <si>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</si>
  <si>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</si>
  <si>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</si>
  <si>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</si>
  <si>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</si>
  <si>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</si>
  <si>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</si>
  <si>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</si>
  <si>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</si>
  <si>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</si>
  <si>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</si>
  <si>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</si>
  <si>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</si>
  <si>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</si>
  <si>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</si>
  <si>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</si>
  <si>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</si>
  <si>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</si>
  <si>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</si>
  <si>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</si>
  <si>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</si>
  <si>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</si>
  <si>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</si>
  <si>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</si>
  <si>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</si>
  <si>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</si>
  <si>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</si>
  <si>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</si>
  <si>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</si>
  <si>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</si>
  <si>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</si>
  <si>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</si>
  <si>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</si>
  <si>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</si>
  <si>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</si>
  <si>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</si>
  <si>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</si>
  <si>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</si>
  <si>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</si>
  <si>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</si>
  <si>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</si>
  <si>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</si>
  <si>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</si>
  <si>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</si>
  <si>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</si>
  <si>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</si>
  <si>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</si>
  <si>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</si>
  <si>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</si>
  <si>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</si>
  <si>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</si>
  <si>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</si>
  <si>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</si>
  <si>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</si>
  <si>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</si>
  <si>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</si>
  <si>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</si>
  <si>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</si>
  <si>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</si>
  <si>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</si>
  <si>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</si>
  <si>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</si>
  <si>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</si>
  <si>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</si>
  <si>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</si>
  <si>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</si>
  <si>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</si>
  <si>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</si>
  <si>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</si>
  <si>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</si>
  <si>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</si>
  <si>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</si>
  <si>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</si>
  <si>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</si>
  <si>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</si>
  <si>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</si>
  <si>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</si>
  <si>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</si>
  <si>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</si>
  <si>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</si>
  <si>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</si>
  <si>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</si>
  <si>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</si>
  <si>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</si>
  <si>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</si>
  <si>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</si>
  <si>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</si>
  <si>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</si>
  <si>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</si>
  <si>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</si>
  <si>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</si>
  <si>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</si>
  <si>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</si>
  <si>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</si>
  <si>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</si>
  <si>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</si>
  <si>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</si>
  <si>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</si>
  <si>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</si>
  <si>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</si>
  <si>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</si>
  <si>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</si>
  <si>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</si>
  <si>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</si>
  <si>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</si>
  <si>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</si>
  <si>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</si>
  <si>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</si>
  <si>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</si>
  <si>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</si>
  <si>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</si>
  <si>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</si>
  <si>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</si>
  <si>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</si>
  <si>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</si>
  <si>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</si>
  <si>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</si>
  <si>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</si>
  <si>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</si>
  <si>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</si>
  <si>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</si>
  <si>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</si>
  <si>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</si>
  <si>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</si>
  <si>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</si>
  <si>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</si>
  <si>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</si>
  <si>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</si>
  <si>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</si>
  <si>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</si>
  <si>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</si>
  <si>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</si>
  <si>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</si>
  <si>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</si>
  <si>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</si>
  <si>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</si>
  <si>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</si>
  <si>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</si>
  <si>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</si>
  <si>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</si>
  <si>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</si>
  <si>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</si>
  <si>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</si>
  <si>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</si>
  <si>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</si>
  <si>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</si>
  <si>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</si>
  <si>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</si>
  <si>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</si>
  <si>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</si>
  <si>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</si>
  <si>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</si>
  <si>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</si>
  <si>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</si>
  <si>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</si>
  <si>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</si>
  <si>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</si>
  <si>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</si>
  <si>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</si>
  <si>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</si>
  <si>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</si>
  <si>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</si>
  <si>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</si>
  <si>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</si>
  <si>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</si>
  <si>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</si>
  <si>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</si>
  <si>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</si>
  <si>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</si>
  <si>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</si>
  <si>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</si>
  <si>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</si>
  <si>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</si>
  <si>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</si>
  <si>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</si>
  <si>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</si>
  <si>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</si>
  <si>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</si>
  <si>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</si>
  <si>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</si>
  <si>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</si>
  <si>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</si>
  <si>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</si>
  <si>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</si>
  <si>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</si>
  <si>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</si>
  <si>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</si>
  <si>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</si>
  <si>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</si>
  <si>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</si>
  <si>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</si>
  <si>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</si>
  <si>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</si>
  <si>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</si>
  <si>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</si>
  <si>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</si>
  <si>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</si>
  <si>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</si>
  <si>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</si>
  <si>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</si>
  <si>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</si>
  <si>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</si>
  <si>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</si>
  <si>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</si>
  <si>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</si>
  <si>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</si>
  <si>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</si>
  <si>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</si>
  <si>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</si>
  <si>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</si>
  <si>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</si>
  <si>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</si>
  <si>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</si>
  <si>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</si>
  <si>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</si>
  <si>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</si>
  <si>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</si>
  <si>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</si>
  <si>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</si>
  <si>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</si>
  <si>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</si>
  <si>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</si>
  <si>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</si>
  <si>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</si>
  <si>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</si>
  <si>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</si>
  <si>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</si>
  <si>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</si>
  <si>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</si>
  <si>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</si>
  <si>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</si>
  <si>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</si>
  <si>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</si>
  <si>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</si>
  <si>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</si>
  <si>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</si>
  <si>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</si>
  <si>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</si>
  <si>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</si>
  <si>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</si>
  <si>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</si>
  <si>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</si>
  <si>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</si>
  <si>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</si>
  <si>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</si>
  <si>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</si>
  <si>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</si>
  <si>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</si>
  <si>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</si>
  <si>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</si>
  <si>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</si>
  <si>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</si>
  <si>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</si>
  <si>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</si>
  <si>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</si>
  <si>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</si>
  <si>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</si>
  <si>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</si>
  <si>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</si>
  <si>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</si>
  <si>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</si>
  <si>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</si>
  <si>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</si>
  <si>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</si>
  <si>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</si>
  <si>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</si>
  <si>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</si>
  <si>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</si>
  <si>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</si>
  <si>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</si>
  <si>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</si>
  <si>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</si>
  <si>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</si>
  <si>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</si>
  <si>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</si>
  <si>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</si>
  <si>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</si>
  <si>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</si>
  <si>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</si>
  <si>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</si>
  <si>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</si>
  <si>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</si>
  <si>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</si>
  <si>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</si>
  <si>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</si>
  <si>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</si>
  <si>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</si>
  <si>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</si>
  <si>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</si>
  <si>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</si>
  <si>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</si>
  <si>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</si>
  <si>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</si>
  <si>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</si>
  <si>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</si>
  <si>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</si>
  <si>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</si>
  <si>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</si>
  <si>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</si>
  <si>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</si>
  <si>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</si>
  <si>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</si>
  <si>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</si>
  <si>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</si>
  <si>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</si>
  <si>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</si>
  <si>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</si>
  <si>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</si>
  <si>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</si>
  <si>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</si>
  <si>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</si>
  <si>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</si>
  <si>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</si>
  <si>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</si>
  <si>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</si>
  <si>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</si>
  <si>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</si>
  <si>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</si>
  <si>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</si>
  <si>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</si>
  <si>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</si>
  <si>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</si>
  <si>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</si>
  <si>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</si>
  <si>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</si>
  <si>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</si>
  <si>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</si>
  <si>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</si>
  <si>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</si>
  <si>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</si>
  <si>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</si>
  <si>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</si>
  <si>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</si>
  <si>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</si>
  <si>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</si>
  <si>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</si>
  <si>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</si>
  <si>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</si>
  <si>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</si>
  <si>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</si>
  <si>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</si>
  <si>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</si>
  <si>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</si>
  <si>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</si>
  <si>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</si>
  <si>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</si>
  <si>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</si>
  <si>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</si>
  <si>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Sum of Total Amount</t>
  </si>
  <si>
    <t>Row Labels</t>
  </si>
  <si>
    <t>Grand Total</t>
  </si>
  <si>
    <t>Column Labels</t>
  </si>
  <si>
    <t>Age Groups</t>
  </si>
  <si>
    <t>18–24</t>
  </si>
  <si>
    <t>25–34</t>
  </si>
  <si>
    <t>35–44</t>
  </si>
  <si>
    <t>Jan</t>
  </si>
  <si>
    <t>Feb</t>
  </si>
  <si>
    <t>Mar</t>
  </si>
  <si>
    <t>Apr</t>
  </si>
  <si>
    <t>May</t>
  </si>
  <si>
    <t>Jun</t>
  </si>
  <si>
    <t>Jul</t>
  </si>
  <si>
    <t>Aug</t>
  </si>
  <si>
    <t>Sep</t>
  </si>
  <si>
    <t>Oct</t>
  </si>
  <si>
    <t>Nov</t>
  </si>
  <si>
    <t>Dec</t>
  </si>
  <si>
    <t>Sum of Quantity</t>
  </si>
  <si>
    <t>Count of Quantity</t>
  </si>
  <si>
    <t>Count of Transaction ID</t>
  </si>
  <si>
    <t>Season</t>
  </si>
  <si>
    <t>Fall</t>
  </si>
  <si>
    <t>Spring</t>
  </si>
  <si>
    <t>Summer</t>
  </si>
  <si>
    <t>Winter</t>
  </si>
  <si>
    <t>Total Sales</t>
  </si>
  <si>
    <t>Total Transactions</t>
  </si>
  <si>
    <t>Average Basket Size</t>
  </si>
  <si>
    <t>Top Category</t>
  </si>
  <si>
    <t>45–54</t>
  </si>
  <si>
    <t>55–64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</si>
</sst>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0.0"/>
    <numFmt numFmtId="165" formatCode="[$$-409]#,##0"/>
    <numFmt numFmtId="166" formatCode="[$$-409]#,##0.00"/>
  </numFmts>
  <fonts count="4">
    <font>
      <sz val="12"/>
      <color theme="1"/>
      <name val="Aptos Narrow"/>
      <family val="2"/>
      <charset val="162"/>
      <scheme val="minor"/>
    </font>
    <font>
      <sz val="12"/>
      <color rgb="FF000000"/>
      <name val="Aptos Narrow"/>
      <family val="2"/>
      <charset val="162"/>
      <scheme val="minor"/>
    </font>
    <font>
      <sz val="16"/>
      <color rgb="FF000000"/>
      <name val="Aptos Narrow"/>
      <scheme val="minor"/>
    </font>
    <font>
      <sz val="14"/>
      <color theme="1"/>
      <name val="Aptos Narrow (Body)"/>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0" borderId="0" xfId="0" applyFont="1"/>
    <xf numFmtId="166" fontId="1" fillId="0" borderId="0" xfId="0" applyNumberFormat="1" applyFont="1"/>
    <xf numFmtId="2" fontId="1" fillId="0" borderId="0" xfId="0" applyNumberFormat="1" applyFont="1"/>
    <xf numFmtId="0" fontId="1" fillId="0" borderId="0" xfId="0" applyFont="1" applyAlignment="1">
      <alignment horizontal="left"/>
    </xf>
    <xf numFmtId="0" fontId="2" fillId="0" borderId="0" xfId="0" applyFont="1" applyAlignment="1">
      <alignment horizontal="center" vertical="center"/>
    </xf>
    <xf numFmtId="166" fontId="0" fillId="0" borderId="0" xfId="0" applyNumberFormat="1"/>
    <xf numFmtId="2" fontId="0" fillId="0" borderId="0" xfId="0" applyNumberFormat="1"/>
    <xf numFmtId="0" fontId="3" fillId="0" borderId="0" xfId="0" applyFont="1" applyAlignment="1">
      <alignment horizontal="center" vertical="center"/>
    </xf>
  </cellXfs>
  <cellStyles count="1">
    <cellStyle name="Normal" xfId="0" builtinId="0"/>
  </cellStyles>
  <dxfs count="21">
    <dxf>
      <numFmt numFmtId="1" formatCode="0"/>
    </dxf>
    <dxf>
      <numFmt numFmtId="1" formatCode="0"/>
    </dxf>
    <dxf>
      <numFmt numFmtId="165" formatCode="[$$-409]#,##0"/>
    </dxf>
    <dxf>
      <numFmt numFmtId="165" formatCode="[$$-409]#,##0"/>
    </dxf>
    <dxf>
      <numFmt numFmtId="165" formatCode="[$$-409]#,##0"/>
    </dxf>
    <dxf>
      <numFmt numFmtId="165" formatCode="[$$-409]#,##0"/>
    </dxf>
    <dxf>
      <numFmt numFmtId="165" formatCode="[$$-409]#,##0"/>
    </dxf>
    <dxf>
      <numFmt numFmtId="0" formatCode="General"/>
    </dxf>
    <dxf>
      <numFmt numFmtId="1" formatCode="0"/>
    </dxf>
    <dxf>
      <numFmt numFmtId="164" formatCode="[$$-409]#,##0.0"/>
    </dxf>
    <dxf>
      <numFmt numFmtId="164" formatCode="[$$-409]#,##0.0"/>
    </dxf>
    <dxf>
      <numFmt numFmtId="1" formatCode="0"/>
    </dxf>
    <dxf>
      <numFmt numFmtId="0" formatCode="General"/>
    </dxf>
    <dxf>
      <numFmt numFmtId="1" formatCode="0"/>
    </dxf>
    <dxf>
      <numFmt numFmtId="0" formatCode="General"/>
    </dxf>
    <dxf>
      <numFmt numFmtId="0" formatCode="General"/>
    </dxf>
    <dxf>
      <numFmt numFmtId="167" formatCode="d/mm/yyyy"/>
    </dxf>
    <dxf>
      <numFmt numFmtId="0" formatCode="General"/>
    </dxf>
    <dxf>
      <numFmt numFmtId="0" formatCode="General"/>
    </dxf>
    <dxf>
      <numFmt numFmtId="0" formatCode="General"/>
    </dxf>
    <dxf>
      <numFmt numFmtId="167" formatCode="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i="0" u="none" strike="noStrike">
                <a:effectLst/>
              </a:rPr>
              <a:t>Customer Purchasing Behavior by Age Group and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Table'!$C$5:$C$6</c:f>
              <c:strCache>
                <c:ptCount val="1"/>
                <c:pt idx="0">
                  <c:v>Female</c:v>
                </c:pt>
              </c:strCache>
            </c:strRef>
          </c:tx>
          <c:spPr>
            <a:solidFill>
              <a:schemeClr val="accent1"/>
            </a:solidFill>
            <a:ln>
              <a:noFill/>
            </a:ln>
            <a:effectLst/>
          </c:spPr>
          <c:invertIfNegative val="0"/>
          <c:cat>
            <c:strRef>
              <c:f>'Pivot Table'!$B$7:$B$12</c:f>
              <c:strCache>
                <c:ptCount val="5"/>
                <c:pt idx="0">
                  <c:v>18–24</c:v>
                </c:pt>
                <c:pt idx="1">
                  <c:v>25–34</c:v>
                </c:pt>
                <c:pt idx="2">
                  <c:v>35–44</c:v>
                </c:pt>
                <c:pt idx="3">
                  <c:v>45–54</c:v>
                </c:pt>
                <c:pt idx="4">
                  <c:v>55–64</c:v>
                </c:pt>
              </c:strCache>
            </c:strRef>
          </c:cat>
          <c:val>
            <c:numRef>
              <c:f>'Pivot Table'!$C$7:$C$12</c:f>
              <c:numCache>
                <c:formatCode>[$$-409]#,##0</c:formatCode>
                <c:ptCount val="5"/>
                <c:pt idx="0">
                  <c:v>35920</c:v>
                </c:pt>
                <c:pt idx="1">
                  <c:v>51850</c:v>
                </c:pt>
                <c:pt idx="2">
                  <c:v>52965</c:v>
                </c:pt>
                <c:pt idx="3">
                  <c:v>46825</c:v>
                </c:pt>
                <c:pt idx="4">
                  <c:v>45280</c:v>
                </c:pt>
              </c:numCache>
            </c:numRef>
          </c:val>
          <c:extLst>
            <c:ext xmlns:c16="http://schemas.microsoft.com/office/drawing/2014/chart" uri="{C3380CC4-5D6E-409C-BE32-E72D297353CC}">
              <c16:uniqueId val="{00000000-F406-454E-A21D-9EEE2664CB20}"/>
            </c:ext>
          </c:extLst>
        </c:ser>
        <c:ser>
          <c:idx val="1"/>
          <c:order val="1"/>
          <c:tx>
            <c:strRef>
              <c:f>'Pivot Table'!$D$5:$D$6</c:f>
              <c:strCache>
                <c:ptCount val="1"/>
                <c:pt idx="0">
                  <c:v>Male</c:v>
                </c:pt>
              </c:strCache>
            </c:strRef>
          </c:tx>
          <c:spPr>
            <a:solidFill>
              <a:schemeClr val="accent2"/>
            </a:solidFill>
            <a:ln>
              <a:noFill/>
            </a:ln>
            <a:effectLst/>
          </c:spPr>
          <c:invertIfNegative val="0"/>
          <c:cat>
            <c:strRef>
              <c:f>'Pivot Table'!$B$7:$B$12</c:f>
              <c:strCache>
                <c:ptCount val="5"/>
                <c:pt idx="0">
                  <c:v>18–24</c:v>
                </c:pt>
                <c:pt idx="1">
                  <c:v>25–34</c:v>
                </c:pt>
                <c:pt idx="2">
                  <c:v>35–44</c:v>
                </c:pt>
                <c:pt idx="3">
                  <c:v>45–54</c:v>
                </c:pt>
                <c:pt idx="4">
                  <c:v>55–64</c:v>
                </c:pt>
              </c:strCache>
            </c:strRef>
          </c:cat>
          <c:val>
            <c:numRef>
              <c:f>'Pivot Table'!$D$7:$D$12</c:f>
              <c:numCache>
                <c:formatCode>[$$-409]#,##0</c:formatCode>
                <c:ptCount val="5"/>
                <c:pt idx="0">
                  <c:v>38730</c:v>
                </c:pt>
                <c:pt idx="1">
                  <c:v>45240</c:v>
                </c:pt>
                <c:pt idx="2">
                  <c:v>43870</c:v>
                </c:pt>
                <c:pt idx="3">
                  <c:v>50410</c:v>
                </c:pt>
                <c:pt idx="4">
                  <c:v>44910</c:v>
                </c:pt>
              </c:numCache>
            </c:numRef>
          </c:val>
          <c:extLst>
            <c:ext xmlns:c16="http://schemas.microsoft.com/office/drawing/2014/chart" uri="{C3380CC4-5D6E-409C-BE32-E72D297353CC}">
              <c16:uniqueId val="{00000000-D581-1A48-845B-05243BD88CFB}"/>
            </c:ext>
          </c:extLst>
        </c:ser>
        <c:dLbls>
          <c:showLegendKey val="0"/>
          <c:showVal val="0"/>
          <c:showCatName val="0"/>
          <c:showSerName val="0"/>
          <c:showPercent val="0"/>
          <c:showBubbleSize val="0"/>
        </c:dLbls>
        <c:gapWidth val="219"/>
        <c:overlap val="-27"/>
        <c:axId val="1602006047"/>
        <c:axId val="2025274144"/>
      </c:barChart>
      <c:catAx>
        <c:axId val="1602006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crossAx val="2025274144"/>
        <c:crosses val="autoZero"/>
        <c:auto val="1"/>
        <c:lblAlgn val="ctr"/>
        <c:lblOffset val="100"/>
        <c:noMultiLvlLbl val="0"/>
      </c:catAx>
      <c:valAx>
        <c:axId val="2025274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Amount of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R"/>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crossAx val="1602006047"/>
        <c:crosses val="autoZero"/>
        <c:crossBetween val="between"/>
      </c:valAx>
      <c:spPr>
        <a:noFill/>
        <a:ln>
          <a:noFill/>
        </a:ln>
        <a:effectLst/>
      </c:spPr>
    </c:plotArea>
    <c:legend>
      <c:legendPos val="t"/>
      <c:layout>
        <c:manualLayout>
          <c:xMode val="edge"/>
          <c:yMode val="edge"/>
          <c:x val="0.83293277065856963"/>
          <c:y val="0.91610496296163435"/>
          <c:w val="0.13742626929698301"/>
          <c:h val="8.0296665650278917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R"/>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Table'!$B$20:$B$32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Table'!$C$20:$C$32</c:f>
              <c:numCache>
                <c:formatCode>[$$-409]#,##0</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0-C257-F441-B286-10D64F8D5077}"/>
            </c:ext>
          </c:extLst>
        </c:ser>
        <c:dLbls>
          <c:showLegendKey val="0"/>
          <c:showVal val="0"/>
          <c:showCatName val="0"/>
          <c:showSerName val="0"/>
          <c:showPercent val="0"/>
          <c:showBubbleSize val="0"/>
        </c:dLbls>
        <c:marker val="1"/>
        <c:smooth val="0"/>
        <c:axId val="1149393664"/>
        <c:axId val="1145289152"/>
      </c:lineChart>
      <c:catAx>
        <c:axId val="1149393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crossAx val="1145289152"/>
        <c:crosses val="autoZero"/>
        <c:auto val="1"/>
        <c:lblAlgn val="ctr"/>
        <c:lblOffset val="100"/>
        <c:noMultiLvlLbl val="0"/>
      </c:catAx>
      <c:valAx>
        <c:axId val="1145289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Amount o</a:t>
                </a:r>
                <a:r>
                  <a:rPr lang="en-US" baseline="0"/>
                  <a:t>f Sales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crossAx val="114939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i="0" u="none" strike="noStrike">
                <a:effectLst/>
              </a:rPr>
              <a:t>Top Product Categories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R"/>
        </a:p>
      </c:txPr>
    </c:title>
    <c:autoTitleDeleted val="0"/>
    <c:pivotFmts>
      <c:pivotFmt>
        <c:idx val="0"/>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TR"/>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doughnutChart>
        <c:varyColors val="1"/>
        <c:ser>
          <c:idx val="0"/>
          <c:order val="0"/>
          <c:tx>
            <c:strRef>
              <c:f>'Pivot Table'!$C$38</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2-E6F8-274A-AD59-4E4B09E667C0}"/>
              </c:ext>
            </c:extLst>
          </c:dPt>
          <c:dPt>
            <c:idx val="1"/>
            <c:bubble3D val="0"/>
            <c:spPr>
              <a:solidFill>
                <a:schemeClr val="accent2"/>
              </a:solidFill>
              <a:ln>
                <a:noFill/>
              </a:ln>
              <a:effectLst/>
            </c:spPr>
            <c:extLst>
              <c:ext xmlns:c16="http://schemas.microsoft.com/office/drawing/2014/chart" uri="{C3380CC4-5D6E-409C-BE32-E72D297353CC}">
                <c16:uniqueId val="{00000003-FF88-7944-B190-F8A557E337A7}"/>
              </c:ext>
            </c:extLst>
          </c:dPt>
          <c:dPt>
            <c:idx val="2"/>
            <c:bubble3D val="0"/>
            <c:spPr>
              <a:solidFill>
                <a:schemeClr val="accent3"/>
              </a:solidFill>
              <a:ln>
                <a:noFill/>
              </a:ln>
              <a:effectLst/>
            </c:spPr>
            <c:extLst>
              <c:ext xmlns:c16="http://schemas.microsoft.com/office/drawing/2014/chart" uri="{C3380CC4-5D6E-409C-BE32-E72D297353CC}">
                <c16:uniqueId val="{00000005-FF88-7944-B190-F8A557E337A7}"/>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TR"/>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Table'!$B$39:$B$42</c:f>
              <c:strCache>
                <c:ptCount val="3"/>
                <c:pt idx="0">
                  <c:v>Electronics</c:v>
                </c:pt>
                <c:pt idx="1">
                  <c:v>Clothing</c:v>
                </c:pt>
                <c:pt idx="2">
                  <c:v>Beauty</c:v>
                </c:pt>
              </c:strCache>
            </c:strRef>
          </c:cat>
          <c:val>
            <c:numRef>
              <c:f>'Pivot Table'!$C$39:$C$42</c:f>
              <c:numCache>
                <c:formatCode>[$$-409]#,##0</c:formatCode>
                <c:ptCount val="3"/>
                <c:pt idx="0">
                  <c:v>156905</c:v>
                </c:pt>
                <c:pt idx="1">
                  <c:v>155580</c:v>
                </c:pt>
                <c:pt idx="2">
                  <c:v>143515</c:v>
                </c:pt>
              </c:numCache>
            </c:numRef>
          </c:val>
          <c:extLst>
            <c:ext xmlns:c16="http://schemas.microsoft.com/office/drawing/2014/chart" uri="{C3380CC4-5D6E-409C-BE32-E72D297353CC}">
              <c16:uniqueId val="{00000000-E6F8-274A-AD59-4E4B09E667C0}"/>
            </c:ext>
          </c:extLst>
        </c:ser>
        <c:dLbls>
          <c:showLegendKey val="0"/>
          <c:showVal val="1"/>
          <c:showCatName val="0"/>
          <c:showSerName val="0"/>
          <c:showPercent val="0"/>
          <c:showBubbleSize val="0"/>
          <c:showLeaderLines val="0"/>
        </c:dLbls>
        <c:firstSliceAng val="273"/>
        <c:holeSize val="42"/>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 Table!PivotTable5</c:name>
    <c:fmtId val="9"/>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Spending by Age Group and Product Category</a:t>
            </a:r>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T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Table'!$C$53:$C$54</c:f>
              <c:strCache>
                <c:ptCount val="1"/>
                <c:pt idx="0">
                  <c:v>Beauty</c:v>
                </c:pt>
              </c:strCache>
            </c:strRef>
          </c:tx>
          <c:spPr>
            <a:solidFill>
              <a:schemeClr val="accent1"/>
            </a:solidFill>
            <a:ln>
              <a:noFill/>
            </a:ln>
            <a:effectLst/>
          </c:spPr>
          <c:invertIfNegative val="0"/>
          <c:cat>
            <c:strRef>
              <c:f>'Pivot Table'!$B$55:$B$60</c:f>
              <c:strCache>
                <c:ptCount val="5"/>
                <c:pt idx="0">
                  <c:v>18–24</c:v>
                </c:pt>
                <c:pt idx="1">
                  <c:v>25–34</c:v>
                </c:pt>
                <c:pt idx="2">
                  <c:v>35–44</c:v>
                </c:pt>
                <c:pt idx="3">
                  <c:v>45–54</c:v>
                </c:pt>
                <c:pt idx="4">
                  <c:v>55–64</c:v>
                </c:pt>
              </c:strCache>
            </c:strRef>
          </c:cat>
          <c:val>
            <c:numRef>
              <c:f>'Pivot Table'!$C$55:$C$60</c:f>
              <c:numCache>
                <c:formatCode>[$$-409]#,##0</c:formatCode>
                <c:ptCount val="5"/>
                <c:pt idx="0">
                  <c:v>28905</c:v>
                </c:pt>
                <c:pt idx="1">
                  <c:v>28540</c:v>
                </c:pt>
                <c:pt idx="2">
                  <c:v>29450</c:v>
                </c:pt>
                <c:pt idx="3">
                  <c:v>35950</c:v>
                </c:pt>
                <c:pt idx="4">
                  <c:v>20670</c:v>
                </c:pt>
              </c:numCache>
            </c:numRef>
          </c:val>
          <c:extLst>
            <c:ext xmlns:c16="http://schemas.microsoft.com/office/drawing/2014/chart" uri="{C3380CC4-5D6E-409C-BE32-E72D297353CC}">
              <c16:uniqueId val="{00000000-A432-A54B-A592-9CF082681614}"/>
            </c:ext>
          </c:extLst>
        </c:ser>
        <c:ser>
          <c:idx val="1"/>
          <c:order val="1"/>
          <c:tx>
            <c:strRef>
              <c:f>'Pivot Table'!$D$53:$D$54</c:f>
              <c:strCache>
                <c:ptCount val="1"/>
                <c:pt idx="0">
                  <c:v>Clothing</c:v>
                </c:pt>
              </c:strCache>
            </c:strRef>
          </c:tx>
          <c:spPr>
            <a:solidFill>
              <a:schemeClr val="accent2"/>
            </a:solidFill>
            <a:ln>
              <a:noFill/>
            </a:ln>
            <a:effectLst/>
          </c:spPr>
          <c:invertIfNegative val="0"/>
          <c:cat>
            <c:strRef>
              <c:f>'Pivot Table'!$B$55:$B$60</c:f>
              <c:strCache>
                <c:ptCount val="5"/>
                <c:pt idx="0">
                  <c:v>18–24</c:v>
                </c:pt>
                <c:pt idx="1">
                  <c:v>25–34</c:v>
                </c:pt>
                <c:pt idx="2">
                  <c:v>35–44</c:v>
                </c:pt>
                <c:pt idx="3">
                  <c:v>45–54</c:v>
                </c:pt>
                <c:pt idx="4">
                  <c:v>55–64</c:v>
                </c:pt>
              </c:strCache>
            </c:strRef>
          </c:cat>
          <c:val>
            <c:numRef>
              <c:f>'Pivot Table'!$D$55:$D$60</c:f>
              <c:numCache>
                <c:formatCode>[$$-409]#,##0</c:formatCode>
                <c:ptCount val="5"/>
                <c:pt idx="0">
                  <c:v>22160</c:v>
                </c:pt>
                <c:pt idx="1">
                  <c:v>41640</c:v>
                </c:pt>
                <c:pt idx="2">
                  <c:v>30925</c:v>
                </c:pt>
                <c:pt idx="3">
                  <c:v>29545</c:v>
                </c:pt>
                <c:pt idx="4">
                  <c:v>31310</c:v>
                </c:pt>
              </c:numCache>
            </c:numRef>
          </c:val>
          <c:extLst>
            <c:ext xmlns:c16="http://schemas.microsoft.com/office/drawing/2014/chart" uri="{C3380CC4-5D6E-409C-BE32-E72D297353CC}">
              <c16:uniqueId val="{00000002-AB18-3B4C-9E86-CB415938A2A2}"/>
            </c:ext>
          </c:extLst>
        </c:ser>
        <c:ser>
          <c:idx val="2"/>
          <c:order val="2"/>
          <c:tx>
            <c:strRef>
              <c:f>'Pivot Table'!$E$53:$E$54</c:f>
              <c:strCache>
                <c:ptCount val="1"/>
                <c:pt idx="0">
                  <c:v>Electronics</c:v>
                </c:pt>
              </c:strCache>
            </c:strRef>
          </c:tx>
          <c:spPr>
            <a:solidFill>
              <a:schemeClr val="accent3"/>
            </a:solidFill>
            <a:ln>
              <a:noFill/>
            </a:ln>
            <a:effectLst/>
          </c:spPr>
          <c:invertIfNegative val="0"/>
          <c:cat>
            <c:strRef>
              <c:f>'Pivot Table'!$B$55:$B$60</c:f>
              <c:strCache>
                <c:ptCount val="5"/>
                <c:pt idx="0">
                  <c:v>18–24</c:v>
                </c:pt>
                <c:pt idx="1">
                  <c:v>25–34</c:v>
                </c:pt>
                <c:pt idx="2">
                  <c:v>35–44</c:v>
                </c:pt>
                <c:pt idx="3">
                  <c:v>45–54</c:v>
                </c:pt>
                <c:pt idx="4">
                  <c:v>55–64</c:v>
                </c:pt>
              </c:strCache>
            </c:strRef>
          </c:cat>
          <c:val>
            <c:numRef>
              <c:f>'Pivot Table'!$E$55:$E$60</c:f>
              <c:numCache>
                <c:formatCode>[$$-409]#,##0</c:formatCode>
                <c:ptCount val="5"/>
                <c:pt idx="0">
                  <c:v>23585</c:v>
                </c:pt>
                <c:pt idx="1">
                  <c:v>26910</c:v>
                </c:pt>
                <c:pt idx="2">
                  <c:v>36460</c:v>
                </c:pt>
                <c:pt idx="3">
                  <c:v>31740</c:v>
                </c:pt>
                <c:pt idx="4">
                  <c:v>38210</c:v>
                </c:pt>
              </c:numCache>
            </c:numRef>
          </c:val>
          <c:extLst>
            <c:ext xmlns:c16="http://schemas.microsoft.com/office/drawing/2014/chart" uri="{C3380CC4-5D6E-409C-BE32-E72D297353CC}">
              <c16:uniqueId val="{00000003-AB18-3B4C-9E86-CB415938A2A2}"/>
            </c:ext>
          </c:extLst>
        </c:ser>
        <c:dLbls>
          <c:showLegendKey val="0"/>
          <c:showVal val="0"/>
          <c:showCatName val="0"/>
          <c:showSerName val="0"/>
          <c:showPercent val="0"/>
          <c:showBubbleSize val="0"/>
        </c:dLbls>
        <c:gapWidth val="95"/>
        <c:overlap val="100"/>
        <c:axId val="1067653120"/>
        <c:axId val="1068049888"/>
      </c:barChart>
      <c:catAx>
        <c:axId val="1067653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crossAx val="1068049888"/>
        <c:crosses val="autoZero"/>
        <c:auto val="1"/>
        <c:lblAlgn val="ctr"/>
        <c:lblOffset val="100"/>
        <c:noMultiLvlLbl val="0"/>
      </c:catAx>
      <c:valAx>
        <c:axId val="1068049888"/>
        <c:scaling>
          <c:orientation val="minMax"/>
          <c:max val="100000"/>
        </c:scaling>
        <c:delete val="0"/>
        <c:axPos val="b"/>
        <c:majorGridlines>
          <c:spPr>
            <a:ln w="9525" cap="flat" cmpd="sng" algn="ctr">
              <a:no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crossAx val="1067653120"/>
        <c:crosses val="autoZero"/>
        <c:crossBetween val="between"/>
      </c:valAx>
      <c:dTable>
        <c:showHorzBorder val="1"/>
        <c:showVertBorder val="1"/>
        <c:showOutline val="0"/>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T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i="0" u="none" strike="noStrike">
                <a:effectLst/>
              </a:rPr>
              <a:t>Seasonal Sales Trends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Table'!$C$69:$C$70</c:f>
              <c:strCache>
                <c:ptCount val="1"/>
                <c:pt idx="0">
                  <c:v>Beauty</c:v>
                </c:pt>
              </c:strCache>
            </c:strRef>
          </c:tx>
          <c:spPr>
            <a:solidFill>
              <a:schemeClr val="accent1"/>
            </a:solidFill>
            <a:ln>
              <a:noFill/>
            </a:ln>
            <a:effectLst/>
          </c:spPr>
          <c:invertIfNegative val="0"/>
          <c:cat>
            <c:strRef>
              <c:f>'Pivot Table'!$B$71:$B$75</c:f>
              <c:strCache>
                <c:ptCount val="4"/>
                <c:pt idx="0">
                  <c:v>Winter</c:v>
                </c:pt>
                <c:pt idx="1">
                  <c:v>Spring</c:v>
                </c:pt>
                <c:pt idx="2">
                  <c:v>Summer</c:v>
                </c:pt>
                <c:pt idx="3">
                  <c:v>Fall</c:v>
                </c:pt>
              </c:strCache>
            </c:strRef>
          </c:cat>
          <c:val>
            <c:numRef>
              <c:f>'Pivot Table'!$C$71:$C$75</c:f>
              <c:numCache>
                <c:formatCode>[$$-409]#,##0</c:formatCode>
                <c:ptCount val="4"/>
                <c:pt idx="0">
                  <c:v>40365</c:v>
                </c:pt>
                <c:pt idx="1">
                  <c:v>34900</c:v>
                </c:pt>
                <c:pt idx="2">
                  <c:v>36875</c:v>
                </c:pt>
                <c:pt idx="3">
                  <c:v>31375</c:v>
                </c:pt>
              </c:numCache>
            </c:numRef>
          </c:val>
          <c:extLst>
            <c:ext xmlns:c16="http://schemas.microsoft.com/office/drawing/2014/chart" uri="{C3380CC4-5D6E-409C-BE32-E72D297353CC}">
              <c16:uniqueId val="{00000000-98C4-D647-94DD-511A4D73F99A}"/>
            </c:ext>
          </c:extLst>
        </c:ser>
        <c:ser>
          <c:idx val="1"/>
          <c:order val="1"/>
          <c:tx>
            <c:strRef>
              <c:f>'Pivot Table'!$D$69:$D$70</c:f>
              <c:strCache>
                <c:ptCount val="1"/>
                <c:pt idx="0">
                  <c:v>Clothing</c:v>
                </c:pt>
              </c:strCache>
            </c:strRef>
          </c:tx>
          <c:spPr>
            <a:solidFill>
              <a:schemeClr val="accent2"/>
            </a:solidFill>
            <a:ln>
              <a:noFill/>
            </a:ln>
            <a:effectLst/>
          </c:spPr>
          <c:invertIfNegative val="0"/>
          <c:cat>
            <c:strRef>
              <c:f>'Pivot Table'!$B$71:$B$75</c:f>
              <c:strCache>
                <c:ptCount val="4"/>
                <c:pt idx="0">
                  <c:v>Winter</c:v>
                </c:pt>
                <c:pt idx="1">
                  <c:v>Spring</c:v>
                </c:pt>
                <c:pt idx="2">
                  <c:v>Summer</c:v>
                </c:pt>
                <c:pt idx="3">
                  <c:v>Fall</c:v>
                </c:pt>
              </c:strCache>
            </c:strRef>
          </c:cat>
          <c:val>
            <c:numRef>
              <c:f>'Pivot Table'!$D$71:$D$75</c:f>
              <c:numCache>
                <c:formatCode>[$$-409]#,##0</c:formatCode>
                <c:ptCount val="4"/>
                <c:pt idx="0">
                  <c:v>39755</c:v>
                </c:pt>
                <c:pt idx="1">
                  <c:v>46460</c:v>
                </c:pt>
                <c:pt idx="2">
                  <c:v>30875</c:v>
                </c:pt>
                <c:pt idx="3">
                  <c:v>38490</c:v>
                </c:pt>
              </c:numCache>
            </c:numRef>
          </c:val>
          <c:extLst>
            <c:ext xmlns:c16="http://schemas.microsoft.com/office/drawing/2014/chart" uri="{C3380CC4-5D6E-409C-BE32-E72D297353CC}">
              <c16:uniqueId val="{00000003-963A-394C-A910-F05B140D7300}"/>
            </c:ext>
          </c:extLst>
        </c:ser>
        <c:ser>
          <c:idx val="2"/>
          <c:order val="2"/>
          <c:tx>
            <c:strRef>
              <c:f>'Pivot Table'!$E$69:$E$70</c:f>
              <c:strCache>
                <c:ptCount val="1"/>
                <c:pt idx="0">
                  <c:v>Electronics</c:v>
                </c:pt>
              </c:strCache>
            </c:strRef>
          </c:tx>
          <c:spPr>
            <a:solidFill>
              <a:schemeClr val="accent3"/>
            </a:solidFill>
            <a:ln>
              <a:noFill/>
            </a:ln>
            <a:effectLst/>
          </c:spPr>
          <c:invertIfNegative val="0"/>
          <c:cat>
            <c:strRef>
              <c:f>'Pivot Table'!$B$71:$B$75</c:f>
              <c:strCache>
                <c:ptCount val="4"/>
                <c:pt idx="0">
                  <c:v>Winter</c:v>
                </c:pt>
                <c:pt idx="1">
                  <c:v>Spring</c:v>
                </c:pt>
                <c:pt idx="2">
                  <c:v>Summer</c:v>
                </c:pt>
                <c:pt idx="3">
                  <c:v>Fall</c:v>
                </c:pt>
              </c:strCache>
            </c:strRef>
          </c:cat>
          <c:val>
            <c:numRef>
              <c:f>'Pivot Table'!$E$71:$E$75</c:f>
              <c:numCache>
                <c:formatCode>[$$-409]#,##0</c:formatCode>
                <c:ptCount val="4"/>
                <c:pt idx="0">
                  <c:v>45610</c:v>
                </c:pt>
                <c:pt idx="1">
                  <c:v>34650</c:v>
                </c:pt>
                <c:pt idx="2">
                  <c:v>41390</c:v>
                </c:pt>
                <c:pt idx="3">
                  <c:v>35255</c:v>
                </c:pt>
              </c:numCache>
            </c:numRef>
          </c:val>
          <c:extLst>
            <c:ext xmlns:c16="http://schemas.microsoft.com/office/drawing/2014/chart" uri="{C3380CC4-5D6E-409C-BE32-E72D297353CC}">
              <c16:uniqueId val="{00000004-963A-394C-A910-F05B140D7300}"/>
            </c:ext>
          </c:extLst>
        </c:ser>
        <c:dLbls>
          <c:showLegendKey val="0"/>
          <c:showVal val="0"/>
          <c:showCatName val="0"/>
          <c:showSerName val="0"/>
          <c:showPercent val="0"/>
          <c:showBubbleSize val="0"/>
        </c:dLbls>
        <c:gapWidth val="150"/>
        <c:axId val="1091560768"/>
        <c:axId val="1073129248"/>
      </c:barChart>
      <c:catAx>
        <c:axId val="1091560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Seasons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crossAx val="1073129248"/>
        <c:crosses val="autoZero"/>
        <c:auto val="1"/>
        <c:lblAlgn val="ctr"/>
        <c:lblOffset val="100"/>
        <c:noMultiLvlLbl val="0"/>
      </c:catAx>
      <c:valAx>
        <c:axId val="1073129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Amount of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R"/>
            </a:p>
          </c:txPr>
        </c:title>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crossAx val="1091560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[Retail_Sales_Dashboard.xlsx]Pivot Table!PivotTable1</c:name>
    <c:fmtId val="12"/>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800" b="1" i="0" u="none" strike="noStrike" kern="1200" cap="all" spc="120" normalizeH="0" baseline="0">
                <a:solidFill>
                  <a:sysClr val="windowText" lastClr="000000">
                    <a:lumMod val="65000"/>
                    <a:lumOff val="35000"/>
                  </a:sysClr>
                </a:solidFill>
                <a:latin typeface="+mn-lt"/>
                <a:ea typeface="+mn-ea"/>
                <a:cs typeface="+mn-cs"/>
              </a:defRPr>
            </a:pPr>
            <a:r>
              <a:rPr lang="en-US" sz="1800"/>
              <a:t>Purchasing Behavior by Age and Gender</a:t>
            </a:r>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800" b="1" i="0" u="none" strike="noStrike" kern="1200" cap="all" spc="120" normalizeH="0" baseline="0">
              <a:solidFill>
                <a:sysClr val="windowText" lastClr="000000">
                  <a:lumMod val="65000"/>
                  <a:lumOff val="35000"/>
                </a:sysClr>
              </a:solidFill>
              <a:latin typeface="+mn-lt"/>
              <a:ea typeface="+mn-ea"/>
              <a:cs typeface="+mn-cs"/>
            </a:defRPr>
          </a:pPr>
          <a:endParaRPr lang="en-T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400" b="1" i="0" u="none" strike="noStrike" kern="1200" baseline="0">
                  <a:solidFill>
                    <a:schemeClr val="bg1"/>
                  </a:solidFill>
                  <a:effectLst>
                    <a:outerShdw blurRad="63500" sx="102000" sy="102000" algn="ctr" rotWithShape="0">
                      <a:prstClr val="black">
                        <a:alpha val="40000"/>
                      </a:prstClr>
                    </a:outerShdw>
                  </a:effectLst>
                  <a:latin typeface="+mn-lt"/>
                  <a:ea typeface="+mn-ea"/>
                  <a:cs typeface="+mn-cs"/>
                </a:defRPr>
              </a:pPr>
              <a:endParaRPr lang="en-T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400" b="1" i="0" u="none" strike="noStrike" kern="1200" baseline="0">
                  <a:solidFill>
                    <a:schemeClr val="bg1"/>
                  </a:solidFill>
                  <a:effectLst>
                    <a:outerShdw blurRad="63500" sx="102000" sy="102000" algn="ctr" rotWithShape="0">
                      <a:prstClr val="black">
                        <a:alpha val="40000"/>
                      </a:prstClr>
                    </a:outerShdw>
                  </a:effectLst>
                  <a:latin typeface="+mn-lt"/>
                  <a:ea typeface="+mn-ea"/>
                  <a:cs typeface="+mn-cs"/>
                </a:defRPr>
              </a:pPr>
              <a:endParaRPr lang="en-TR"/>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Table'!$C$5:$C$6</c:f>
              <c:strCache>
                <c:ptCount val="1"/>
                <c:pt idx="0">
                  <c:v>Female</c:v>
                </c:pt>
              </c:strCache>
            </c:strRef>
          </c:tx>
          <c:spPr>
            <a:solidFill>
              <a:schemeClr val="accent1">
                <a:shade val="76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400" b="1" i="0" u="none" strike="noStrike" kern="1200" baseline="0">
                    <a:solidFill>
                      <a:schemeClr val="bg1"/>
                    </a:solidFill>
                    <a:effectLst>
                      <a:outerShdw blurRad="63500" sx="102000" sy="102000" algn="ctr" rotWithShape="0">
                        <a:prstClr val="black">
                          <a:alpha val="40000"/>
                        </a:prstClr>
                      </a:outerShdw>
                    </a:effectLst>
                    <a:latin typeface="+mn-lt"/>
                    <a:ea typeface="+mn-ea"/>
                    <a:cs typeface="+mn-cs"/>
                  </a:defRPr>
                </a:pPr>
                <a:endParaRPr lang="en-T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Table'!$B$7:$B$12</c:f>
              <c:strCache>
                <c:ptCount val="5"/>
                <c:pt idx="0">
                  <c:v>18–24</c:v>
                </c:pt>
                <c:pt idx="1">
                  <c:v>25–34</c:v>
                </c:pt>
                <c:pt idx="2">
                  <c:v>35–44</c:v>
                </c:pt>
                <c:pt idx="3">
                  <c:v>45–54</c:v>
                </c:pt>
                <c:pt idx="4">
                  <c:v>55–64</c:v>
                </c:pt>
              </c:strCache>
            </c:strRef>
          </c:cat>
          <c:val>
            <c:numRef>
              <c:f>'Pivot Table'!$C$7:$C$12</c:f>
              <c:numCache>
                <c:formatCode>[$$-409]#,##0</c:formatCode>
                <c:ptCount val="5"/>
                <c:pt idx="0">
                  <c:v>35920</c:v>
                </c:pt>
                <c:pt idx="1">
                  <c:v>51850</c:v>
                </c:pt>
                <c:pt idx="2">
                  <c:v>52965</c:v>
                </c:pt>
                <c:pt idx="3">
                  <c:v>46825</c:v>
                </c:pt>
                <c:pt idx="4">
                  <c:v>45280</c:v>
                </c:pt>
              </c:numCache>
            </c:numRef>
          </c:val>
          <c:extLst>
            <c:ext xmlns:c16="http://schemas.microsoft.com/office/drawing/2014/chart" uri="{C3380CC4-5D6E-409C-BE32-E72D297353CC}">
              <c16:uniqueId val="{00000000-2D2B-C14C-9AE5-AC4D362C6E41}"/>
            </c:ext>
          </c:extLst>
        </c:ser>
        <c:ser>
          <c:idx val="1"/>
          <c:order val="1"/>
          <c:tx>
            <c:strRef>
              <c:f>'Pivot Table'!$D$5:$D$6</c:f>
              <c:strCache>
                <c:ptCount val="1"/>
                <c:pt idx="0">
                  <c:v>Male</c:v>
                </c:pt>
              </c:strCache>
            </c:strRef>
          </c:tx>
          <c:spPr>
            <a:solidFill>
              <a:schemeClr val="accent1">
                <a:tint val="77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400" b="1" i="0" u="none" strike="noStrike" kern="1200" baseline="0">
                    <a:solidFill>
                      <a:schemeClr val="bg1"/>
                    </a:solidFill>
                    <a:effectLst>
                      <a:outerShdw blurRad="63500" sx="102000" sy="102000" algn="ctr" rotWithShape="0">
                        <a:prstClr val="black">
                          <a:alpha val="40000"/>
                        </a:prstClr>
                      </a:outerShdw>
                    </a:effectLst>
                    <a:latin typeface="+mn-lt"/>
                    <a:ea typeface="+mn-ea"/>
                    <a:cs typeface="+mn-cs"/>
                  </a:defRPr>
                </a:pPr>
                <a:endParaRPr lang="en-T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Table'!$B$7:$B$12</c:f>
              <c:strCache>
                <c:ptCount val="5"/>
                <c:pt idx="0">
                  <c:v>18–24</c:v>
                </c:pt>
                <c:pt idx="1">
                  <c:v>25–34</c:v>
                </c:pt>
                <c:pt idx="2">
                  <c:v>35–44</c:v>
                </c:pt>
                <c:pt idx="3">
                  <c:v>45–54</c:v>
                </c:pt>
                <c:pt idx="4">
                  <c:v>55–64</c:v>
                </c:pt>
              </c:strCache>
            </c:strRef>
          </c:cat>
          <c:val>
            <c:numRef>
              <c:f>'Pivot Table'!$D$7:$D$12</c:f>
              <c:numCache>
                <c:formatCode>[$$-409]#,##0</c:formatCode>
                <c:ptCount val="5"/>
                <c:pt idx="0">
                  <c:v>38730</c:v>
                </c:pt>
                <c:pt idx="1">
                  <c:v>45240</c:v>
                </c:pt>
                <c:pt idx="2">
                  <c:v>43870</c:v>
                </c:pt>
                <c:pt idx="3">
                  <c:v>50410</c:v>
                </c:pt>
                <c:pt idx="4">
                  <c:v>44910</c:v>
                </c:pt>
              </c:numCache>
            </c:numRef>
          </c:val>
          <c:extLst>
            <c:ext xmlns:c16="http://schemas.microsoft.com/office/drawing/2014/chart" uri="{C3380CC4-5D6E-409C-BE32-E72D297353CC}">
              <c16:uniqueId val="{00000000-DE82-5547-A50D-C25383E74201}"/>
            </c:ext>
          </c:extLst>
        </c:ser>
        <c:dLbls>
          <c:showLegendKey val="0"/>
          <c:showVal val="1"/>
          <c:showCatName val="0"/>
          <c:showSerName val="0"/>
          <c:showPercent val="0"/>
          <c:showBubbleSize val="0"/>
        </c:dLbls>
        <c:gapWidth val="75"/>
        <c:axId val="1602006047"/>
        <c:axId val="2025274144"/>
      </c:barChart>
      <c:catAx>
        <c:axId val="160200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TR"/>
          </a:p>
        </c:txPr>
        <c:crossAx val="2025274144"/>
        <c:crosses val="autoZero"/>
        <c:auto val="1"/>
        <c:lblAlgn val="ctr"/>
        <c:lblOffset val="100"/>
        <c:noMultiLvlLbl val="0"/>
      </c:catAx>
      <c:valAx>
        <c:axId val="2025274144"/>
        <c:scaling>
          <c:orientation val="minMax"/>
        </c:scaling>
        <c:delete val="0"/>
        <c:axPos val="l"/>
        <c:numFmt formatCode="[$$-409]#,##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R"/>
          </a:p>
        </c:txPr>
        <c:crossAx val="1602006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[Retail_Sales_Dashboard.xlsx]Pivot Table!PivotTable4</c:name>
    <c:fmtId val="7"/>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800"/>
              <a:t>Top Product CategorieS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TR"/>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effectLst>
                    <a:outerShdw blurRad="63500" sx="102000" sy="102000" algn="ctr" rotWithShape="0">
                      <a:prstClr val="black">
                        <a:alpha val="40000"/>
                      </a:prstClr>
                    </a:outerShdw>
                  </a:effectLst>
                  <a:latin typeface="+mn-lt"/>
                  <a:ea typeface="+mn-ea"/>
                  <a:cs typeface="+mn-cs"/>
                </a:defRPr>
              </a:pPr>
              <a:endParaRPr lang="en-TR"/>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Table'!$C$38</c:f>
              <c:strCache>
                <c:ptCount val="1"/>
                <c:pt idx="0">
                  <c:v>Total</c:v>
                </c:pt>
              </c:strCache>
            </c:strRef>
          </c:tx>
          <c:dPt>
            <c:idx val="0"/>
            <c:bubble3D val="0"/>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CA7-7E4A-8786-099AD7ADEA19}"/>
              </c:ext>
            </c:extLst>
          </c:dPt>
          <c:dPt>
            <c:idx val="1"/>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CA7-7E4A-8786-099AD7ADEA19}"/>
              </c:ext>
            </c:extLst>
          </c:dPt>
          <c:dPt>
            <c:idx val="2"/>
            <c:bubble3D val="0"/>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CA7-7E4A-8786-099AD7ADEA19}"/>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effectLst>
                      <a:outerShdw blurRad="63500" sx="102000" sy="102000" algn="ctr" rotWithShape="0">
                        <a:prstClr val="black">
                          <a:alpha val="40000"/>
                        </a:prstClr>
                      </a:outerShdw>
                    </a:effectLst>
                    <a:latin typeface="+mn-lt"/>
                    <a:ea typeface="+mn-ea"/>
                    <a:cs typeface="+mn-cs"/>
                  </a:defRPr>
                </a:pPr>
                <a:endParaRPr lang="en-TR"/>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Table'!$B$39:$B$42</c:f>
              <c:strCache>
                <c:ptCount val="3"/>
                <c:pt idx="0">
                  <c:v>Electronics</c:v>
                </c:pt>
                <c:pt idx="1">
                  <c:v>Clothing</c:v>
                </c:pt>
                <c:pt idx="2">
                  <c:v>Beauty</c:v>
                </c:pt>
              </c:strCache>
            </c:strRef>
          </c:cat>
          <c:val>
            <c:numRef>
              <c:f>'Pivot Table'!$C$39:$C$42</c:f>
              <c:numCache>
                <c:formatCode>[$$-409]#,##0</c:formatCode>
                <c:ptCount val="3"/>
                <c:pt idx="0">
                  <c:v>156905</c:v>
                </c:pt>
                <c:pt idx="1">
                  <c:v>155580</c:v>
                </c:pt>
                <c:pt idx="2">
                  <c:v>143515</c:v>
                </c:pt>
              </c:numCache>
            </c:numRef>
          </c:val>
          <c:extLst>
            <c:ext xmlns:c16="http://schemas.microsoft.com/office/drawing/2014/chart" uri="{C3380CC4-5D6E-409C-BE32-E72D297353CC}">
              <c16:uniqueId val="{00000006-1CA7-7E4A-8786-099AD7ADEA19}"/>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[Retail_Sales_Dashboard.xlsx]Pivot Table!PivotTable5</c:name>
    <c:fmtId val="17"/>
  </c:pivotSource>
  <c:chart>
    <c:title>
      <c:tx>
        <c:rich>
          <a:bodyPr rot="0" spcFirstLastPara="1" vertOverflow="ellipsis" vert="horz" wrap="square" anchor="ctr" anchorCtr="1"/>
          <a:lstStyle/>
          <a:p>
            <a:pPr>
              <a:defRPr sz="1800" b="1" i="0" u="none" strike="noStrike" kern="1200" cap="all" spc="120" normalizeH="0" baseline="0">
                <a:solidFill>
                  <a:schemeClr val="tx1">
                    <a:lumMod val="65000"/>
                    <a:lumOff val="35000"/>
                  </a:schemeClr>
                </a:solidFill>
                <a:latin typeface="+mn-lt"/>
                <a:ea typeface="+mn-ea"/>
                <a:cs typeface="+mn-cs"/>
              </a:defRPr>
            </a:pPr>
            <a:r>
              <a:rPr lang="en-US" sz="1800"/>
              <a:t>Spending by Age and PRODUCT Category</a:t>
            </a:r>
          </a:p>
        </c:rich>
      </c:tx>
      <c:overlay val="0"/>
      <c:spPr>
        <a:noFill/>
        <a:ln>
          <a:noFill/>
        </a:ln>
        <a:effectLst/>
      </c:spPr>
      <c:txPr>
        <a:bodyPr rot="0" spcFirstLastPara="1" vertOverflow="ellipsis" vert="horz" wrap="square" anchor="ctr" anchorCtr="1"/>
        <a:lstStyle/>
        <a:p>
          <a:pPr>
            <a:defRPr sz="1800" b="1" i="0" u="none" strike="noStrike" kern="1200" cap="all" spc="120" normalizeH="0" baseline="0">
              <a:solidFill>
                <a:schemeClr val="tx1">
                  <a:lumMod val="65000"/>
                  <a:lumOff val="35000"/>
                </a:schemeClr>
              </a:solidFill>
              <a:latin typeface="+mn-lt"/>
              <a:ea typeface="+mn-ea"/>
              <a:cs typeface="+mn-cs"/>
            </a:defRPr>
          </a:pPr>
          <a:endParaRPr lang="en-T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effectLst>
                    <a:outerShdw blurRad="63500" sx="102000" sy="102000" algn="ctr" rotWithShape="0">
                      <a:prstClr val="black">
                        <a:alpha val="40000"/>
                      </a:prstClr>
                    </a:outerShdw>
                  </a:effectLst>
                  <a:latin typeface="+mn-lt"/>
                  <a:ea typeface="+mn-ea"/>
                  <a:cs typeface="+mn-cs"/>
                </a:defRPr>
              </a:pPr>
              <a:endParaRPr lang="en-T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effectLst>
                    <a:outerShdw blurRad="63500" sx="102000" sy="102000" algn="ctr" rotWithShape="0">
                      <a:prstClr val="black">
                        <a:alpha val="40000"/>
                      </a:prstClr>
                    </a:outerShdw>
                  </a:effectLst>
                  <a:latin typeface="+mn-lt"/>
                  <a:ea typeface="+mn-ea"/>
                  <a:cs typeface="+mn-cs"/>
                </a:defRPr>
              </a:pPr>
              <a:endParaRPr lang="en-T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effectLst>
                    <a:outerShdw blurRad="63500" sx="102000" sy="102000" algn="ctr" rotWithShape="0">
                      <a:prstClr val="black">
                        <a:alpha val="40000"/>
                      </a:prstClr>
                    </a:outerShdw>
                  </a:effectLst>
                  <a:latin typeface="+mn-lt"/>
                  <a:ea typeface="+mn-ea"/>
                  <a:cs typeface="+mn-cs"/>
                </a:defRPr>
              </a:pPr>
              <a:endParaRPr lang="en-TR"/>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Table'!$C$53:$C$54</c:f>
              <c:strCache>
                <c:ptCount val="1"/>
                <c:pt idx="0">
                  <c:v>Beauty</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effectLst>
                      <a:outerShdw blurRad="63500" sx="102000" sy="102000" algn="ctr" rotWithShape="0">
                        <a:prstClr val="black">
                          <a:alpha val="40000"/>
                        </a:prstClr>
                      </a:outerShdw>
                    </a:effectLst>
                    <a:latin typeface="+mn-lt"/>
                    <a:ea typeface="+mn-ea"/>
                    <a:cs typeface="+mn-cs"/>
                  </a:defRPr>
                </a:pPr>
                <a:endParaRPr lang="en-T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Table'!$B$55:$B$60</c:f>
              <c:strCache>
                <c:ptCount val="5"/>
                <c:pt idx="0">
                  <c:v>18–24</c:v>
                </c:pt>
                <c:pt idx="1">
                  <c:v>25–34</c:v>
                </c:pt>
                <c:pt idx="2">
                  <c:v>35–44</c:v>
                </c:pt>
                <c:pt idx="3">
                  <c:v>45–54</c:v>
                </c:pt>
                <c:pt idx="4">
                  <c:v>55–64</c:v>
                </c:pt>
              </c:strCache>
            </c:strRef>
          </c:cat>
          <c:val>
            <c:numRef>
              <c:f>'Pivot Table'!$C$55:$C$60</c:f>
              <c:numCache>
                <c:formatCode>[$$-409]#,##0</c:formatCode>
                <c:ptCount val="5"/>
                <c:pt idx="0">
                  <c:v>28905</c:v>
                </c:pt>
                <c:pt idx="1">
                  <c:v>28540</c:v>
                </c:pt>
                <c:pt idx="2">
                  <c:v>29450</c:v>
                </c:pt>
                <c:pt idx="3">
                  <c:v>35950</c:v>
                </c:pt>
                <c:pt idx="4">
                  <c:v>20670</c:v>
                </c:pt>
              </c:numCache>
            </c:numRef>
          </c:val>
          <c:extLst>
            <c:ext xmlns:c16="http://schemas.microsoft.com/office/drawing/2014/chart" uri="{C3380CC4-5D6E-409C-BE32-E72D297353CC}">
              <c16:uniqueId val="{00000000-B5F9-0C47-86C4-A3BF69206B8C}"/>
            </c:ext>
          </c:extLst>
        </c:ser>
        <c:ser>
          <c:idx val="1"/>
          <c:order val="1"/>
          <c:tx>
            <c:strRef>
              <c:f>'Pivot Table'!$D$53:$D$54</c:f>
              <c:strCache>
                <c:ptCount val="1"/>
                <c:pt idx="0">
                  <c:v>Clothing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effectLst>
                      <a:outerShdw blurRad="63500" sx="102000" sy="102000" algn="ctr" rotWithShape="0">
                        <a:prstClr val="black">
                          <a:alpha val="40000"/>
                        </a:prstClr>
                      </a:outerShdw>
                    </a:effectLst>
                    <a:latin typeface="+mn-lt"/>
                    <a:ea typeface="+mn-ea"/>
                    <a:cs typeface="+mn-cs"/>
                  </a:defRPr>
                </a:pPr>
                <a:endParaRPr lang="en-T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Table'!$B$55:$B$60</c:f>
              <c:strCache>
                <c:ptCount val="5"/>
                <c:pt idx="0">
                  <c:v>18–24</c:v>
                </c:pt>
                <c:pt idx="1">
                  <c:v>25–34</c:v>
                </c:pt>
                <c:pt idx="2">
                  <c:v>35–44</c:v>
                </c:pt>
                <c:pt idx="3">
                  <c:v>45–54</c:v>
                </c:pt>
                <c:pt idx="4">
                  <c:v>55–64</c:v>
                </c:pt>
              </c:strCache>
            </c:strRef>
          </c:cat>
          <c:val>
            <c:numRef>
              <c:f>'Pivot Table'!$D$55:$D$60</c:f>
              <c:numCache>
                <c:formatCode>[$$-409]#,##0</c:formatCode>
                <c:ptCount val="5"/>
                <c:pt idx="0">
                  <c:v>22160</c:v>
                </c:pt>
                <c:pt idx="1">
                  <c:v>41640</c:v>
                </c:pt>
                <c:pt idx="2">
                  <c:v>30925</c:v>
                </c:pt>
                <c:pt idx="3">
                  <c:v>29545</c:v>
                </c:pt>
                <c:pt idx="4">
                  <c:v>31310</c:v>
                </c:pt>
              </c:numCache>
            </c:numRef>
          </c:val>
          <c:extLst>
            <c:ext xmlns:c16="http://schemas.microsoft.com/office/drawing/2014/chart" uri="{C3380CC4-5D6E-409C-BE32-E72D297353CC}">
              <c16:uniqueId val="{00000003-EA8D-5A4A-A7F1-7C202171BDCC}"/>
            </c:ext>
          </c:extLst>
        </c:ser>
        <c:ser>
          <c:idx val="2"/>
          <c:order val="2"/>
          <c:tx>
            <c:strRef>
              <c:f>'Pivot Table'!$E$53:$E$54</c:f>
              <c:strCache>
                <c:ptCount val="1"/>
                <c:pt idx="0">
                  <c:v>Electronics</c:v>
                </c:pt>
              </c:strCache>
            </c:strRef>
          </c:tx>
          <c:spPr>
            <a:solidFill>
              <a:schemeClr val="accent1">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effectLst>
                      <a:outerShdw blurRad="63500" sx="102000" sy="102000" algn="ctr" rotWithShape="0">
                        <a:prstClr val="black">
                          <a:alpha val="40000"/>
                        </a:prstClr>
                      </a:outerShdw>
                    </a:effectLst>
                    <a:latin typeface="+mn-lt"/>
                    <a:ea typeface="+mn-ea"/>
                    <a:cs typeface="+mn-cs"/>
                  </a:defRPr>
                </a:pPr>
                <a:endParaRPr lang="en-T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Table'!$B$55:$B$60</c:f>
              <c:strCache>
                <c:ptCount val="5"/>
                <c:pt idx="0">
                  <c:v>18–24</c:v>
                </c:pt>
                <c:pt idx="1">
                  <c:v>25–34</c:v>
                </c:pt>
                <c:pt idx="2">
                  <c:v>35–44</c:v>
                </c:pt>
                <c:pt idx="3">
                  <c:v>45–54</c:v>
                </c:pt>
                <c:pt idx="4">
                  <c:v>55–64</c:v>
                </c:pt>
              </c:strCache>
            </c:strRef>
          </c:cat>
          <c:val>
            <c:numRef>
              <c:f>'Pivot Table'!$E$55:$E$60</c:f>
              <c:numCache>
                <c:formatCode>[$$-409]#,##0</c:formatCode>
                <c:ptCount val="5"/>
                <c:pt idx="0">
                  <c:v>23585</c:v>
                </c:pt>
                <c:pt idx="1">
                  <c:v>26910</c:v>
                </c:pt>
                <c:pt idx="2">
                  <c:v>36460</c:v>
                </c:pt>
                <c:pt idx="3">
                  <c:v>31740</c:v>
                </c:pt>
                <c:pt idx="4">
                  <c:v>38210</c:v>
                </c:pt>
              </c:numCache>
            </c:numRef>
          </c:val>
          <c:extLst>
            <c:ext xmlns:c16="http://schemas.microsoft.com/office/drawing/2014/chart" uri="{C3380CC4-5D6E-409C-BE32-E72D297353CC}">
              <c16:uniqueId val="{00000004-EA8D-5A4A-A7F1-7C202171BDCC}"/>
            </c:ext>
          </c:extLst>
        </c:ser>
        <c:dLbls>
          <c:dLblPos val="ctr"/>
          <c:showLegendKey val="0"/>
          <c:showVal val="1"/>
          <c:showCatName val="0"/>
          <c:showSerName val="0"/>
          <c:showPercent val="0"/>
          <c:showBubbleSize val="0"/>
        </c:dLbls>
        <c:gapWidth val="79"/>
        <c:overlap val="100"/>
        <c:axId val="1067653120"/>
        <c:axId val="1068049888"/>
      </c:barChart>
      <c:catAx>
        <c:axId val="1067653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all" spc="120" normalizeH="0" baseline="0">
                <a:solidFill>
                  <a:schemeClr val="tx1">
                    <a:lumMod val="65000"/>
                    <a:lumOff val="35000"/>
                  </a:schemeClr>
                </a:solidFill>
                <a:latin typeface="+mn-lt"/>
                <a:ea typeface="+mn-ea"/>
                <a:cs typeface="+mn-cs"/>
              </a:defRPr>
            </a:pPr>
            <a:endParaRPr lang="en-TR"/>
          </a:p>
        </c:txPr>
        <c:crossAx val="1068049888"/>
        <c:crosses val="autoZero"/>
        <c:auto val="1"/>
        <c:lblAlgn val="ctr"/>
        <c:lblOffset val="100"/>
        <c:noMultiLvlLbl val="0"/>
      </c:catAx>
      <c:valAx>
        <c:axId val="1068049888"/>
        <c:scaling>
          <c:orientation val="minMax"/>
          <c:max val="100000"/>
        </c:scaling>
        <c:delete val="1"/>
        <c:axPos val="b"/>
        <c:numFmt formatCode="[$$-409]#,##0" sourceLinked="1"/>
        <c:majorTickMark val="none"/>
        <c:minorTickMark val="none"/>
        <c:tickLblPos val="nextTo"/>
        <c:crossAx val="10676531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[Retail_Sales_Dashboard.xlsx]Pivot Table!PivotTable3</c:name>
    <c:fmtId val="8"/>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i="0" u="none" strike="noStrike" kern="1200" cap="all" spc="120" normalizeH="0" baseline="0">
                <a:solidFill>
                  <a:sysClr val="windowText" lastClr="000000">
                    <a:lumMod val="65000"/>
                    <a:lumOff val="35000"/>
                  </a:sysClr>
                </a:solidFill>
              </a:rPr>
              <a:t>monthly sales</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TR"/>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solidFill>
                  <a:latin typeface="+mn-lt"/>
                  <a:ea typeface="+mn-ea"/>
                  <a:cs typeface="+mn-cs"/>
                </a:defRPr>
              </a:pPr>
              <a:endParaRPr lang="en-TR"/>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solidFill>
                  <a:latin typeface="+mn-lt"/>
                  <a:ea typeface="+mn-ea"/>
                  <a:cs typeface="+mn-cs"/>
                </a:defRPr>
              </a:pPr>
              <a:endParaRPr lang="en-TR"/>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solidFill>
                  <a:latin typeface="+mn-lt"/>
                  <a:ea typeface="+mn-ea"/>
                  <a:cs typeface="+mn-cs"/>
                </a:defRPr>
              </a:pPr>
              <a:endParaRPr lang="en-TR"/>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solidFill>
                  <a:latin typeface="+mn-lt"/>
                  <a:ea typeface="+mn-ea"/>
                  <a:cs typeface="+mn-cs"/>
                </a:defRPr>
              </a:pPr>
              <a:endParaRPr lang="en-TR"/>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solidFill>
                  <a:latin typeface="+mn-lt"/>
                  <a:ea typeface="+mn-ea"/>
                  <a:cs typeface="+mn-cs"/>
                </a:defRPr>
              </a:pPr>
              <a:endParaRPr lang="en-TR"/>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solidFill>
                  <a:latin typeface="+mn-lt"/>
                  <a:ea typeface="+mn-ea"/>
                  <a:cs typeface="+mn-cs"/>
                </a:defRPr>
              </a:pPr>
              <a:endParaRPr lang="en-TR"/>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Table'!$C$19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1-046C-BC4C-995C-0CBA7833246A}"/>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0-046C-BC4C-995C-0CBA7833246A}"/>
              </c:ext>
            </c:extLst>
          </c:dPt>
          <c:dPt>
            <c:idx val="7"/>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F-046C-BC4C-995C-0CBA7833246A}"/>
              </c:ext>
            </c:extLst>
          </c:dPt>
          <c:dPt>
            <c:idx val="9"/>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E-046C-BC4C-995C-0CBA7833246A}"/>
              </c:ext>
            </c:extLst>
          </c:dPt>
          <c:dPt>
            <c:idx val="1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D-046C-BC4C-995C-0CBA7833246A}"/>
              </c:ext>
            </c:extLst>
          </c:dPt>
          <c:dLbls>
            <c:dLbl>
              <c:idx val="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46C-BC4C-995C-0CBA7833246A}"/>
                </c:ext>
              </c:extLst>
            </c:dLbl>
            <c:dLbl>
              <c:idx val="4"/>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46C-BC4C-995C-0CBA7833246A}"/>
                </c:ext>
              </c:extLst>
            </c:dLbl>
            <c:dLbl>
              <c:idx val="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46C-BC4C-995C-0CBA7833246A}"/>
                </c:ext>
              </c:extLst>
            </c:dLbl>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46C-BC4C-995C-0CBA7833246A}"/>
                </c:ext>
              </c:extLst>
            </c:dLbl>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46C-BC4C-995C-0CBA7833246A}"/>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solidFill>
                    <a:latin typeface="+mn-lt"/>
                    <a:ea typeface="+mn-ea"/>
                    <a:cs typeface="+mn-cs"/>
                  </a:defRPr>
                </a:pPr>
                <a:endParaRPr lang="en-T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Table'!$B$20:$B$32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Table'!$C$20:$C$32</c:f>
              <c:numCache>
                <c:formatCode>[$$-409]#,##0</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0-6649-E94B-A7BC-DDC3FAB62234}"/>
            </c:ext>
          </c:extLst>
        </c:ser>
        <c:dLbls>
          <c:showLegendKey val="0"/>
          <c:showVal val="1"/>
          <c:showCatName val="0"/>
          <c:showSerName val="0"/>
          <c:showPercent val="0"/>
          <c:showBubbleSize val="0"/>
        </c:dLbls>
        <c:marker val="1"/>
        <c:smooth val="0"/>
        <c:axId val="1149393664"/>
        <c:axId val="1145289152"/>
      </c:lineChart>
      <c:catAx>
        <c:axId val="114939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R"/>
          </a:p>
        </c:txPr>
        <c:crossAx val="1145289152"/>
        <c:crosses val="autoZero"/>
        <c:auto val="1"/>
        <c:lblAlgn val="ctr"/>
        <c:lblOffset val="100"/>
        <c:noMultiLvlLbl val="0"/>
      </c:catAx>
      <c:valAx>
        <c:axId val="1145289152"/>
        <c:scaling>
          <c:orientation val="minMax"/>
        </c:scaling>
        <c:delete val="1"/>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crossAx val="114939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[Retail_Sales_Dashboard.xlsx]Pivot Table!PivotTable7</c:name>
    <c:fmtId val="9"/>
  </c:pivotSource>
  <c:chart>
    <c:title>
      <c:tx>
        <c:rich>
          <a:bodyPr rot="0" spcFirstLastPara="1" vertOverflow="ellipsis" vert="horz" wrap="square" anchor="ctr" anchorCtr="1"/>
          <a:lstStyle/>
          <a:p>
            <a:pPr>
              <a:defRPr sz="1800" b="1" i="0" u="none" strike="noStrike" kern="1200" cap="all" spc="120" normalizeH="0" baseline="0">
                <a:solidFill>
                  <a:schemeClr val="tx1">
                    <a:lumMod val="65000"/>
                    <a:lumOff val="35000"/>
                  </a:schemeClr>
                </a:solidFill>
                <a:latin typeface="+mn-lt"/>
                <a:ea typeface="+mn-ea"/>
                <a:cs typeface="+mn-cs"/>
              </a:defRPr>
            </a:pPr>
            <a:r>
              <a:rPr lang="en-US" sz="1800"/>
              <a:t>Seasonal Sales by Product Category</a:t>
            </a:r>
          </a:p>
        </c:rich>
      </c:tx>
      <c:overlay val="0"/>
      <c:spPr>
        <a:noFill/>
        <a:ln>
          <a:noFill/>
        </a:ln>
        <a:effectLst/>
      </c:spPr>
      <c:txPr>
        <a:bodyPr rot="0" spcFirstLastPara="1" vertOverflow="ellipsis" vert="horz" wrap="square" anchor="ctr" anchorCtr="1"/>
        <a:lstStyle/>
        <a:p>
          <a:pPr>
            <a:defRPr sz="1800" b="1" i="0" u="none" strike="noStrike" kern="1200" cap="all" spc="120" normalizeH="0" baseline="0">
              <a:solidFill>
                <a:schemeClr val="tx1">
                  <a:lumMod val="65000"/>
                  <a:lumOff val="35000"/>
                </a:schemeClr>
              </a:solidFill>
              <a:latin typeface="+mn-lt"/>
              <a:ea typeface="+mn-ea"/>
              <a:cs typeface="+mn-cs"/>
            </a:defRPr>
          </a:pPr>
          <a:endParaRPr lang="en-T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400" b="1" i="0" u="none" strike="noStrike" kern="1200" baseline="0">
                  <a:solidFill>
                    <a:schemeClr val="bg1"/>
                  </a:solidFill>
                  <a:effectLst>
                    <a:outerShdw blurRad="63500" sx="102000" sy="102000" algn="ctr" rotWithShape="0">
                      <a:prstClr val="black">
                        <a:alpha val="40000"/>
                      </a:prstClr>
                    </a:outerShdw>
                  </a:effectLst>
                  <a:latin typeface="+mn-lt"/>
                  <a:ea typeface="+mn-ea"/>
                  <a:cs typeface="+mn-cs"/>
                </a:defRPr>
              </a:pPr>
              <a:endParaRPr lang="en-T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400" b="1" i="0" u="none" strike="noStrike" kern="1200" baseline="0">
                  <a:solidFill>
                    <a:schemeClr val="bg1"/>
                  </a:solidFill>
                  <a:effectLst>
                    <a:outerShdw blurRad="63500" sx="102000" sy="102000" algn="ctr" rotWithShape="0">
                      <a:prstClr val="black">
                        <a:alpha val="40000"/>
                      </a:prstClr>
                    </a:outerShdw>
                  </a:effectLst>
                  <a:latin typeface="+mn-lt"/>
                  <a:ea typeface="+mn-ea"/>
                  <a:cs typeface="+mn-cs"/>
                </a:defRPr>
              </a:pPr>
              <a:endParaRPr lang="en-T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50000"/>
              <a:lumOff val="500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400" b="1" i="0" u="none" strike="noStrike" kern="1200" baseline="0">
                  <a:solidFill>
                    <a:schemeClr val="bg1"/>
                  </a:solidFill>
                  <a:effectLst>
                    <a:outerShdw blurRad="63500" sx="102000" sy="102000" algn="ctr" rotWithShape="0">
                      <a:prstClr val="black">
                        <a:alpha val="40000"/>
                      </a:prstClr>
                    </a:outerShdw>
                  </a:effectLst>
                  <a:latin typeface="+mn-lt"/>
                  <a:ea typeface="+mn-ea"/>
                  <a:cs typeface="+mn-cs"/>
                </a:defRPr>
              </a:pPr>
              <a:endParaRPr lang="en-T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40000"/>
              <a:lumOff val="60000"/>
            </a:schemeClr>
          </a:solidFill>
          <a:ln>
            <a:noFill/>
          </a:ln>
          <a:effectLst/>
        </c:spPr>
      </c:pivotFmt>
    </c:pivotFmts>
    <c:plotArea>
      <c:layout/>
      <c:barChart>
        <c:barDir val="col"/>
        <c:grouping val="clustered"/>
        <c:varyColors val="0"/>
        <c:ser>
          <c:idx val="0"/>
          <c:order val="0"/>
          <c:tx>
            <c:strRef>
              <c:f>'Pivot Table'!$C$69:$C$70</c:f>
              <c:strCache>
                <c:ptCount val="1"/>
                <c:pt idx="0">
                  <c:v>Beauty</c:v>
                </c:pt>
              </c:strCache>
            </c:strRef>
          </c:tx>
          <c:spPr>
            <a:solidFill>
              <a:schemeClr val="accent1">
                <a:shade val="65000"/>
              </a:schemeClr>
            </a:solidFill>
            <a:ln>
              <a:noFill/>
            </a:ln>
            <a:effectLst/>
          </c:spPr>
          <c:invertIfNegative val="0"/>
          <c:dPt>
            <c:idx val="0"/>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0-020B-4E09-A9AE-F1889A41630D}"/>
              </c:ext>
            </c:extLst>
          </c:dPt>
          <c:dLbls>
            <c:spPr>
              <a:noFill/>
              <a:ln>
                <a:noFill/>
              </a:ln>
              <a:effectLst/>
            </c:spPr>
            <c:txPr>
              <a:bodyPr rot="-5400000" spcFirstLastPara="1" vertOverflow="clip" horzOverflow="clip" vert="horz" wrap="square" lIns="38100" tIns="19050" rIns="38100" bIns="19050" anchor="ctr" anchorCtr="1">
                <a:spAutoFit/>
              </a:bodyPr>
              <a:lstStyle/>
              <a:p>
                <a:pPr>
                  <a:defRPr sz="1400" b="1" i="0" u="none" strike="noStrike" kern="1200" baseline="0">
                    <a:solidFill>
                      <a:schemeClr val="bg1"/>
                    </a:solidFill>
                    <a:effectLst>
                      <a:outerShdw blurRad="63500" sx="102000" sy="102000" algn="ctr" rotWithShape="0">
                        <a:prstClr val="black">
                          <a:alpha val="40000"/>
                        </a:prstClr>
                      </a:outerShdw>
                    </a:effectLst>
                    <a:latin typeface="+mn-lt"/>
                    <a:ea typeface="+mn-ea"/>
                    <a:cs typeface="+mn-cs"/>
                  </a:defRPr>
                </a:pPr>
                <a:endParaRPr lang="en-T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Table'!$B$71:$B$75</c:f>
              <c:strCache>
                <c:ptCount val="4"/>
                <c:pt idx="0">
                  <c:v>Winter</c:v>
                </c:pt>
                <c:pt idx="1">
                  <c:v>Spring</c:v>
                </c:pt>
                <c:pt idx="2">
                  <c:v>Summer</c:v>
                </c:pt>
                <c:pt idx="3">
                  <c:v>Fall</c:v>
                </c:pt>
              </c:strCache>
            </c:strRef>
          </c:cat>
          <c:val>
            <c:numRef>
              <c:f>'Pivot Table'!$C$71:$C$75</c:f>
              <c:numCache>
                <c:formatCode>[$$-409]#,##0</c:formatCode>
                <c:ptCount val="4"/>
                <c:pt idx="0">
                  <c:v>40365</c:v>
                </c:pt>
                <c:pt idx="1">
                  <c:v>34900</c:v>
                </c:pt>
                <c:pt idx="2">
                  <c:v>36875</c:v>
                </c:pt>
                <c:pt idx="3">
                  <c:v>31375</c:v>
                </c:pt>
              </c:numCache>
            </c:numRef>
          </c:val>
          <c:extLst>
            <c:ext xmlns:c16="http://schemas.microsoft.com/office/drawing/2014/chart" uri="{C3380CC4-5D6E-409C-BE32-E72D297353CC}">
              <c16:uniqueId val="{00000000-90D3-8B40-B0EE-23B7A06C3462}"/>
            </c:ext>
          </c:extLst>
        </c:ser>
        <c:ser>
          <c:idx val="1"/>
          <c:order val="1"/>
          <c:tx>
            <c:strRef>
              <c:f>'Pivot Table'!$D$69:$D$70</c:f>
              <c:strCache>
                <c:ptCount val="1"/>
                <c:pt idx="0">
                  <c:v>Clothing</c:v>
                </c:pt>
              </c:strCache>
            </c:strRef>
          </c:tx>
          <c:spPr>
            <a:solidFill>
              <a:schemeClr val="accent1">
                <a:lumMod val="7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400" b="1" i="0" u="none" strike="noStrike" kern="1200" baseline="0">
                    <a:solidFill>
                      <a:schemeClr val="bg1"/>
                    </a:solidFill>
                    <a:effectLst>
                      <a:outerShdw blurRad="63500" sx="102000" sy="102000" algn="ctr" rotWithShape="0">
                        <a:prstClr val="black">
                          <a:alpha val="40000"/>
                        </a:prstClr>
                      </a:outerShdw>
                    </a:effectLst>
                    <a:latin typeface="+mn-lt"/>
                    <a:ea typeface="+mn-ea"/>
                    <a:cs typeface="+mn-cs"/>
                  </a:defRPr>
                </a:pPr>
                <a:endParaRPr lang="en-T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Table'!$B$71:$B$75</c:f>
              <c:strCache>
                <c:ptCount val="4"/>
                <c:pt idx="0">
                  <c:v>Winter</c:v>
                </c:pt>
                <c:pt idx="1">
                  <c:v>Spring</c:v>
                </c:pt>
                <c:pt idx="2">
                  <c:v>Summer</c:v>
                </c:pt>
                <c:pt idx="3">
                  <c:v>Fall</c:v>
                </c:pt>
              </c:strCache>
            </c:strRef>
          </c:cat>
          <c:val>
            <c:numRef>
              <c:f>'Pivot Table'!$D$71:$D$75</c:f>
              <c:numCache>
                <c:formatCode>[$$-409]#,##0</c:formatCode>
                <c:ptCount val="4"/>
                <c:pt idx="0">
                  <c:v>39755</c:v>
                </c:pt>
                <c:pt idx="1">
                  <c:v>46460</c:v>
                </c:pt>
                <c:pt idx="2">
                  <c:v>30875</c:v>
                </c:pt>
                <c:pt idx="3">
                  <c:v>38490</c:v>
                </c:pt>
              </c:numCache>
            </c:numRef>
          </c:val>
          <c:extLst>
            <c:ext xmlns:c16="http://schemas.microsoft.com/office/drawing/2014/chart" uri="{C3380CC4-5D6E-409C-BE32-E72D297353CC}">
              <c16:uniqueId val="{00000003-3D97-9445-83CE-A86A3EBBAC83}"/>
            </c:ext>
          </c:extLst>
        </c:ser>
        <c:ser>
          <c:idx val="2"/>
          <c:order val="2"/>
          <c:tx>
            <c:strRef>
              <c:f>'Pivot Table'!$E$69:$E$70</c:f>
              <c:strCache>
                <c:ptCount val="1"/>
                <c:pt idx="0">
                  <c:v>Electronics</c:v>
                </c:pt>
              </c:strCache>
            </c:strRef>
          </c:tx>
          <c:spPr>
            <a:solidFill>
              <a:schemeClr val="tx2">
                <a:lumMod val="50000"/>
                <a:lumOff val="5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400" b="1" i="0" u="none" strike="noStrike" kern="1200" baseline="0">
                    <a:solidFill>
                      <a:schemeClr val="bg1"/>
                    </a:solidFill>
                    <a:effectLst>
                      <a:outerShdw blurRad="63500" sx="102000" sy="102000" algn="ctr" rotWithShape="0">
                        <a:prstClr val="black">
                          <a:alpha val="40000"/>
                        </a:prstClr>
                      </a:outerShdw>
                    </a:effectLst>
                    <a:latin typeface="+mn-lt"/>
                    <a:ea typeface="+mn-ea"/>
                    <a:cs typeface="+mn-cs"/>
                  </a:defRPr>
                </a:pPr>
                <a:endParaRPr lang="en-T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Table'!$B$71:$B$75</c:f>
              <c:strCache>
                <c:ptCount val="4"/>
                <c:pt idx="0">
                  <c:v>Winter</c:v>
                </c:pt>
                <c:pt idx="1">
                  <c:v>Spring</c:v>
                </c:pt>
                <c:pt idx="2">
                  <c:v>Summer</c:v>
                </c:pt>
                <c:pt idx="3">
                  <c:v>Fall</c:v>
                </c:pt>
              </c:strCache>
            </c:strRef>
          </c:cat>
          <c:val>
            <c:numRef>
              <c:f>'Pivot Table'!$E$71:$E$75</c:f>
              <c:numCache>
                <c:formatCode>[$$-409]#,##0</c:formatCode>
                <c:ptCount val="4"/>
                <c:pt idx="0">
                  <c:v>45610</c:v>
                </c:pt>
                <c:pt idx="1">
                  <c:v>34650</c:v>
                </c:pt>
                <c:pt idx="2">
                  <c:v>41390</c:v>
                </c:pt>
                <c:pt idx="3">
                  <c:v>35255</c:v>
                </c:pt>
              </c:numCache>
            </c:numRef>
          </c:val>
          <c:extLst>
            <c:ext xmlns:c16="http://schemas.microsoft.com/office/drawing/2014/chart" uri="{C3380CC4-5D6E-409C-BE32-E72D297353CC}">
              <c16:uniqueId val="{00000004-3D97-9445-83CE-A86A3EBBAC83}"/>
            </c:ext>
          </c:extLst>
        </c:ser>
        <c:dLbls>
          <c:showLegendKey val="0"/>
          <c:showVal val="1"/>
          <c:showCatName val="0"/>
          <c:showSerName val="0"/>
          <c:showPercent val="0"/>
          <c:showBubbleSize val="0"/>
        </c:dLbls>
        <c:gapWidth val="150"/>
        <c:overlap val="-25"/>
        <c:axId val="1091560768"/>
        <c:axId val="1073129248"/>
      </c:barChart>
      <c:catAx>
        <c:axId val="109156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all" spc="120" normalizeH="0" baseline="0">
                <a:solidFill>
                  <a:schemeClr val="tx1">
                    <a:lumMod val="65000"/>
                    <a:lumOff val="35000"/>
                  </a:schemeClr>
                </a:solidFill>
                <a:latin typeface="+mn-lt"/>
                <a:ea typeface="+mn-ea"/>
                <a:cs typeface="+mn-cs"/>
              </a:defRPr>
            </a:pPr>
            <a:endParaRPr lang="en-TR"/>
          </a:p>
        </c:txPr>
        <c:crossAx val="1073129248"/>
        <c:crosses val="autoZero"/>
        <c:auto val="1"/>
        <c:lblAlgn val="ctr"/>
        <c:lblOffset val="100"/>
        <c:noMultiLvlLbl val="0"/>
      </c:catAx>
      <c:valAx>
        <c:axId val="1073129248"/>
        <c:scaling>
          <c:orientation val="minMax"/>
        </c:scaling>
        <c:delete val="1"/>
        <c:axPos val="l"/>
        <c:numFmt formatCode="[$$-409]#,##0" sourceLinked="1"/>
        <c:majorTickMark val="none"/>
        <c:minorTickMark val="none"/>
        <c:tickLblPos val="nextTo"/>
        <c:crossAx val="10915607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emf"/><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76200</xdr:colOff>
      <xdr:row>1</xdr:row>
      <xdr:rowOff>57150</xdr:rowOff>
    </xdr:from>
    <xdr:to>
      <xdr:col>14</xdr:col>
      <xdr:colOff>0</xdr:colOff>
      <xdr:row>15</xdr:row>
      <xdr:rowOff>0</xdr:rowOff>
    </xdr:to>
    <xdr:graphicFrame macro="">
      <xdr:nvGraphicFramePr>
        <xdr:cNvPr id="3" name="Chart 2">
          <a:extLst>
            <a:ext uri="{FF2B5EF4-FFF2-40B4-BE49-F238E27FC236}">
              <a16:creationId xmlns:a16="http://schemas.microsoft.com/office/drawing/2014/main" id="{3ABE9F49-0562-26F8-DD89-C19798EB5C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673100</xdr:colOff>
      <xdr:row>13</xdr:row>
      <xdr:rowOff>12700</xdr:rowOff>
    </xdr:from>
    <xdr:to>
      <xdr:col>22</xdr:col>
      <xdr:colOff>254000</xdr:colOff>
      <xdr:row>19</xdr:row>
      <xdr:rowOff>0</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6C2ADB7F-7E38-BF8D-F392-2CADEE1D48BA}"/>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4427200" y="2654300"/>
              <a:ext cx="1828800" cy="1206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4</xdr:row>
      <xdr:rowOff>63500</xdr:rowOff>
    </xdr:from>
    <xdr:to>
      <xdr:col>22</xdr:col>
      <xdr:colOff>254000</xdr:colOff>
      <xdr:row>13</xdr:row>
      <xdr:rowOff>0</xdr:rowOff>
    </xdr:to>
    <mc:AlternateContent xmlns:mc="http://schemas.openxmlformats.org/markup-compatibility/2006" xmlns:a14="http://schemas.microsoft.com/office/drawing/2010/main">
      <mc:Choice Requires="a14">
        <xdr:graphicFrame macro="">
          <xdr:nvGraphicFramePr>
            <xdr:cNvPr id="6" name="Age Groups">
              <a:extLst>
                <a:ext uri="{FF2B5EF4-FFF2-40B4-BE49-F238E27FC236}">
                  <a16:creationId xmlns:a16="http://schemas.microsoft.com/office/drawing/2014/main" id="{CBFB0482-9A25-4537-E88A-45B8AEC31362}"/>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mlns="">
        <xdr:sp macro="" textlink="">
          <xdr:nvSpPr>
            <xdr:cNvPr id="0" name=""/>
            <xdr:cNvSpPr>
              <a:spLocks noTextEdit="1"/>
            </xdr:cNvSpPr>
          </xdr:nvSpPr>
          <xdr:spPr>
            <a:xfrm>
              <a:off x="14427200" y="876300"/>
              <a:ext cx="1828800" cy="1765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76200</xdr:colOff>
      <xdr:row>18</xdr:row>
      <xdr:rowOff>57150</xdr:rowOff>
    </xdr:from>
    <xdr:to>
      <xdr:col>13</xdr:col>
      <xdr:colOff>317500</xdr:colOff>
      <xdr:row>31</xdr:row>
      <xdr:rowOff>158750</xdr:rowOff>
    </xdr:to>
    <xdr:graphicFrame macro="">
      <xdr:nvGraphicFramePr>
        <xdr:cNvPr id="7" name="Chart 6">
          <a:extLst>
            <a:ext uri="{FF2B5EF4-FFF2-40B4-BE49-F238E27FC236}">
              <a16:creationId xmlns:a16="http://schemas.microsoft.com/office/drawing/2014/main" id="{AA0AFEA1-D5F2-BCE7-4AC6-BF460A1C2E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34</xdr:row>
      <xdr:rowOff>82550</xdr:rowOff>
    </xdr:from>
    <xdr:to>
      <xdr:col>11</xdr:col>
      <xdr:colOff>0</xdr:colOff>
      <xdr:row>47</xdr:row>
      <xdr:rowOff>184150</xdr:rowOff>
    </xdr:to>
    <xdr:graphicFrame macro="">
      <xdr:nvGraphicFramePr>
        <xdr:cNvPr id="10" name="Chart 9">
          <a:extLst>
            <a:ext uri="{FF2B5EF4-FFF2-40B4-BE49-F238E27FC236}">
              <a16:creationId xmlns:a16="http://schemas.microsoft.com/office/drawing/2014/main" id="{699691F7-74A9-753B-5003-06D73B8BCD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50</xdr:row>
      <xdr:rowOff>101600</xdr:rowOff>
    </xdr:from>
    <xdr:to>
      <xdr:col>15</xdr:col>
      <xdr:colOff>0</xdr:colOff>
      <xdr:row>64</xdr:row>
      <xdr:rowOff>0</xdr:rowOff>
    </xdr:to>
    <xdr:graphicFrame macro="">
      <xdr:nvGraphicFramePr>
        <xdr:cNvPr id="16" name="Chart 15">
          <a:extLst>
            <a:ext uri="{FF2B5EF4-FFF2-40B4-BE49-F238E27FC236}">
              <a16:creationId xmlns:a16="http://schemas.microsoft.com/office/drawing/2014/main" id="{4828D93E-1D36-1CDD-10B6-77C784CBCA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69</xdr:row>
      <xdr:rowOff>25400</xdr:rowOff>
    </xdr:from>
    <xdr:to>
      <xdr:col>20</xdr:col>
      <xdr:colOff>0</xdr:colOff>
      <xdr:row>85</xdr:row>
      <xdr:rowOff>0</xdr:rowOff>
    </xdr:to>
    <xdr:graphicFrame macro="">
      <xdr:nvGraphicFramePr>
        <xdr:cNvPr id="19" name="Chart 18">
          <a:extLst>
            <a:ext uri="{FF2B5EF4-FFF2-40B4-BE49-F238E27FC236}">
              <a16:creationId xmlns:a16="http://schemas.microsoft.com/office/drawing/2014/main" id="{67298A1C-B775-004B-776D-C2BA904DCB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647700</xdr:colOff>
      <xdr:row>19</xdr:row>
      <xdr:rowOff>0</xdr:rowOff>
    </xdr:from>
    <xdr:to>
      <xdr:col>22</xdr:col>
      <xdr:colOff>254000</xdr:colOff>
      <xdr:row>23</xdr:row>
      <xdr:rowOff>127000</xdr:rowOff>
    </xdr:to>
    <mc:AlternateContent xmlns:mc="http://schemas.openxmlformats.org/markup-compatibility/2006" xmlns:a14="http://schemas.microsoft.com/office/drawing/2010/main">
      <mc:Choice Requires="a14">
        <xdr:graphicFrame macro="">
          <xdr:nvGraphicFramePr>
            <xdr:cNvPr id="20" name="Gender">
              <a:extLst>
                <a:ext uri="{FF2B5EF4-FFF2-40B4-BE49-F238E27FC236}">
                  <a16:creationId xmlns:a16="http://schemas.microsoft.com/office/drawing/2014/main" id="{8470D3A1-2C25-C60F-9B3A-FF3A005B452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427200" y="3860800"/>
              <a:ext cx="1828800" cy="939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279400</xdr:colOff>
      <xdr:row>24</xdr:row>
      <xdr:rowOff>0</xdr:rowOff>
    </xdr:from>
    <xdr:to>
      <xdr:col>22</xdr:col>
      <xdr:colOff>241300</xdr:colOff>
      <xdr:row>31</xdr:row>
      <xdr:rowOff>76200</xdr:rowOff>
    </xdr:to>
    <mc:AlternateContent xmlns:mc="http://schemas.openxmlformats.org/markup-compatibility/2006" xmlns:a14="http://schemas.microsoft.com/office/drawing/2010/main">
      <mc:Choice Requires="a14">
        <xdr:graphicFrame macro="">
          <xdr:nvGraphicFramePr>
            <xdr:cNvPr id="4" name="Season">
              <a:extLst>
                <a:ext uri="{FF2B5EF4-FFF2-40B4-BE49-F238E27FC236}">
                  <a16:creationId xmlns:a16="http://schemas.microsoft.com/office/drawing/2014/main" id="{94F5212D-16D1-FD95-7245-2EE960F6F01E}"/>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4414500" y="4876800"/>
              <a:ext cx="1828800" cy="1498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22</xdr:col>
      <xdr:colOff>15301</xdr:colOff>
      <xdr:row>58</xdr:row>
      <xdr:rowOff>15302</xdr:rowOff>
    </xdr:to>
    <xdr:sp macro="" textlink="">
      <xdr:nvSpPr>
        <xdr:cNvPr id="16" name="Rectangle 15">
          <a:extLst>
            <a:ext uri="{FF2B5EF4-FFF2-40B4-BE49-F238E27FC236}">
              <a16:creationId xmlns:a16="http://schemas.microsoft.com/office/drawing/2014/main" id="{C0C1F15F-FCAC-005D-C9D9-B799B7646CB6}"/>
            </a:ext>
          </a:extLst>
        </xdr:cNvPr>
        <xdr:cNvSpPr/>
      </xdr:nvSpPr>
      <xdr:spPr>
        <a:xfrm>
          <a:off x="0" y="0"/>
          <a:ext cx="18193132" cy="1147590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248161</xdr:colOff>
      <xdr:row>1</xdr:row>
      <xdr:rowOff>14598</xdr:rowOff>
    </xdr:from>
    <xdr:to>
      <xdr:col>21</xdr:col>
      <xdr:colOff>540115</xdr:colOff>
      <xdr:row>6</xdr:row>
      <xdr:rowOff>14598</xdr:rowOff>
    </xdr:to>
    <xdr:sp macro="" textlink="">
      <xdr:nvSpPr>
        <xdr:cNvPr id="2" name="Rounded Rectangle 1">
          <a:extLst>
            <a:ext uri="{FF2B5EF4-FFF2-40B4-BE49-F238E27FC236}">
              <a16:creationId xmlns:a16="http://schemas.microsoft.com/office/drawing/2014/main" id="{6DB9963D-86A9-D20F-1261-F1D56D9F3C35}"/>
            </a:ext>
          </a:extLst>
        </xdr:cNvPr>
        <xdr:cNvSpPr/>
      </xdr:nvSpPr>
      <xdr:spPr>
        <a:xfrm>
          <a:off x="248161" y="14598"/>
          <a:ext cx="17894154" cy="1016000"/>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b="1"/>
            <a:t>RETAIL</a:t>
          </a:r>
          <a:r>
            <a:rPr lang="en-US" sz="4800" b="1" baseline="0"/>
            <a:t> SALES DASHBOARD</a:t>
          </a:r>
          <a:endParaRPr lang="en-US" sz="4800" b="1"/>
        </a:p>
      </xdr:txBody>
    </xdr:sp>
    <xdr:clientData/>
  </xdr:twoCellAnchor>
  <xdr:twoCellAnchor>
    <xdr:from>
      <xdr:col>0</xdr:col>
      <xdr:colOff>248161</xdr:colOff>
      <xdr:row>35</xdr:row>
      <xdr:rowOff>108751</xdr:rowOff>
    </xdr:from>
    <xdr:to>
      <xdr:col>21</xdr:col>
      <xdr:colOff>540115</xdr:colOff>
      <xdr:row>55</xdr:row>
      <xdr:rowOff>108763</xdr:rowOff>
    </xdr:to>
    <xdr:grpSp>
      <xdr:nvGrpSpPr>
        <xdr:cNvPr id="13" name="Group 12">
          <a:extLst>
            <a:ext uri="{FF2B5EF4-FFF2-40B4-BE49-F238E27FC236}">
              <a16:creationId xmlns:a16="http://schemas.microsoft.com/office/drawing/2014/main" id="{F1D02785-5C66-7A3E-EA4C-196A75EABA11}"/>
            </a:ext>
          </a:extLst>
        </xdr:cNvPr>
        <xdr:cNvGrpSpPr/>
      </xdr:nvGrpSpPr>
      <xdr:grpSpPr>
        <a:xfrm>
          <a:off x="248161" y="7330531"/>
          <a:ext cx="17469242" cy="4089842"/>
          <a:chOff x="817472" y="7436797"/>
          <a:chExt cx="17765402" cy="4087368"/>
        </a:xfrm>
      </xdr:grpSpPr>
      <xdr:graphicFrame macro="">
        <xdr:nvGraphicFramePr>
          <xdr:cNvPr id="3" name="Chart 2">
            <a:extLst>
              <a:ext uri="{FF2B5EF4-FFF2-40B4-BE49-F238E27FC236}">
                <a16:creationId xmlns:a16="http://schemas.microsoft.com/office/drawing/2014/main" id="{3DA7854C-D321-4F43-AA07-EE2C3934B6F9}"/>
              </a:ext>
            </a:extLst>
          </xdr:cNvPr>
          <xdr:cNvGraphicFramePr>
            <a:graphicFrameLocks/>
          </xdr:cNvGraphicFramePr>
        </xdr:nvGraphicFramePr>
        <xdr:xfrm>
          <a:off x="11926323" y="7436797"/>
          <a:ext cx="6656551" cy="4087368"/>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5" name="Chart 4">
            <a:extLst>
              <a:ext uri="{FF2B5EF4-FFF2-40B4-BE49-F238E27FC236}">
                <a16:creationId xmlns:a16="http://schemas.microsoft.com/office/drawing/2014/main" id="{1FB42C88-04AE-8842-9E24-CF52BC6678C4}"/>
              </a:ext>
            </a:extLst>
          </xdr:cNvPr>
          <xdr:cNvGraphicFramePr>
            <a:graphicFrameLocks/>
          </xdr:cNvGraphicFramePr>
        </xdr:nvGraphicFramePr>
        <xdr:xfrm>
          <a:off x="7748524" y="7436797"/>
          <a:ext cx="4087357" cy="408736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6" name="Chart 5">
            <a:extLst>
              <a:ext uri="{FF2B5EF4-FFF2-40B4-BE49-F238E27FC236}">
                <a16:creationId xmlns:a16="http://schemas.microsoft.com/office/drawing/2014/main" id="{404C06E6-5903-8743-8206-3E5FABC959BF}"/>
              </a:ext>
            </a:extLst>
          </xdr:cNvPr>
          <xdr:cNvGraphicFramePr>
            <a:graphicFrameLocks/>
          </xdr:cNvGraphicFramePr>
        </xdr:nvGraphicFramePr>
        <xdr:xfrm>
          <a:off x="817472" y="7436797"/>
          <a:ext cx="6840611" cy="4087368"/>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0</xdr:col>
      <xdr:colOff>248161</xdr:colOff>
      <xdr:row>14</xdr:row>
      <xdr:rowOff>179458</xdr:rowOff>
    </xdr:from>
    <xdr:to>
      <xdr:col>21</xdr:col>
      <xdr:colOff>540115</xdr:colOff>
      <xdr:row>34</xdr:row>
      <xdr:rowOff>179470</xdr:rowOff>
    </xdr:to>
    <xdr:grpSp>
      <xdr:nvGrpSpPr>
        <xdr:cNvPr id="14" name="Group 13">
          <a:extLst>
            <a:ext uri="{FF2B5EF4-FFF2-40B4-BE49-F238E27FC236}">
              <a16:creationId xmlns:a16="http://schemas.microsoft.com/office/drawing/2014/main" id="{0F610784-5631-8CCA-DD43-8A61859D6F08}"/>
            </a:ext>
          </a:extLst>
        </xdr:cNvPr>
        <xdr:cNvGrpSpPr/>
      </xdr:nvGrpSpPr>
      <xdr:grpSpPr>
        <a:xfrm>
          <a:off x="248161" y="3106916"/>
          <a:ext cx="17469242" cy="4089842"/>
          <a:chOff x="817472" y="3126478"/>
          <a:chExt cx="17765402" cy="4087368"/>
        </a:xfrm>
        <a:solidFill>
          <a:schemeClr val="tx2">
            <a:lumMod val="75000"/>
            <a:lumOff val="25000"/>
          </a:schemeClr>
        </a:solidFill>
      </xdr:grpSpPr>
      <xdr:graphicFrame macro="">
        <xdr:nvGraphicFramePr>
          <xdr:cNvPr id="4" name="Chart 3">
            <a:extLst>
              <a:ext uri="{FF2B5EF4-FFF2-40B4-BE49-F238E27FC236}">
                <a16:creationId xmlns:a16="http://schemas.microsoft.com/office/drawing/2014/main" id="{F6EF4841-506A-C84D-A6B2-8A880797E609}"/>
              </a:ext>
            </a:extLst>
          </xdr:cNvPr>
          <xdr:cNvGraphicFramePr>
            <a:graphicFrameLocks/>
          </xdr:cNvGraphicFramePr>
        </xdr:nvGraphicFramePr>
        <xdr:xfrm>
          <a:off x="817472" y="3126478"/>
          <a:ext cx="9034079" cy="4087368"/>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7" name="Chart 6">
            <a:extLst>
              <a:ext uri="{FF2B5EF4-FFF2-40B4-BE49-F238E27FC236}">
                <a16:creationId xmlns:a16="http://schemas.microsoft.com/office/drawing/2014/main" id="{7442ECA9-1992-0F48-9B84-97995E202694}"/>
              </a:ext>
            </a:extLst>
          </xdr:cNvPr>
          <xdr:cNvGraphicFramePr>
            <a:graphicFrameLocks/>
          </xdr:cNvGraphicFramePr>
        </xdr:nvGraphicFramePr>
        <xdr:xfrm>
          <a:off x="9926438" y="3126478"/>
          <a:ext cx="8656436" cy="4085125"/>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248161</xdr:colOff>
      <xdr:row>6</xdr:row>
      <xdr:rowOff>152648</xdr:rowOff>
    </xdr:from>
    <xdr:to>
      <xdr:col>7</xdr:col>
      <xdr:colOff>751761</xdr:colOff>
      <xdr:row>9</xdr:row>
      <xdr:rowOff>198076</xdr:rowOff>
    </xdr:to>
    <xdr:grpSp>
      <xdr:nvGrpSpPr>
        <xdr:cNvPr id="19" name="Group 18">
          <a:extLst>
            <a:ext uri="{FF2B5EF4-FFF2-40B4-BE49-F238E27FC236}">
              <a16:creationId xmlns:a16="http://schemas.microsoft.com/office/drawing/2014/main" id="{0F6CE115-673D-604F-15E1-72C4B53698B3}"/>
            </a:ext>
          </a:extLst>
        </xdr:cNvPr>
        <xdr:cNvGrpSpPr/>
      </xdr:nvGrpSpPr>
      <xdr:grpSpPr>
        <a:xfrm>
          <a:off x="248161" y="1379597"/>
          <a:ext cx="6229363" cy="723479"/>
          <a:chOff x="248161" y="1369265"/>
          <a:chExt cx="6328083" cy="731520"/>
        </a:xfrm>
        <a:solidFill>
          <a:schemeClr val="tx2">
            <a:lumMod val="10000"/>
            <a:lumOff val="90000"/>
          </a:schemeClr>
        </a:solidFill>
      </xdr:grpSpPr>
      <mc:AlternateContent xmlns:mc="http://schemas.openxmlformats.org/markup-compatibility/2006">
        <mc:Choice xmlns:a14="http://schemas.microsoft.com/office/drawing/2010/main" Requires="a14">
          <xdr:graphicFrame macro="">
            <xdr:nvGraphicFramePr>
              <xdr:cNvPr id="8" name="Age Groups 1">
                <a:extLst>
                  <a:ext uri="{FF2B5EF4-FFF2-40B4-BE49-F238E27FC236}">
                    <a16:creationId xmlns:a16="http://schemas.microsoft.com/office/drawing/2014/main" id="{D47AED72-55BB-5A4A-AA24-A57718A34F79}"/>
                  </a:ext>
                </a:extLst>
              </xdr:cNvPr>
              <xdr:cNvGraphicFramePr/>
            </xdr:nvGraphicFramePr>
            <xdr:xfrm>
              <a:off x="2277241" y="1369265"/>
              <a:ext cx="4299003" cy="731520"/>
            </xdr:xfrm>
            <a:graphic>
              <a:graphicData uri="http://schemas.microsoft.com/office/drawing/2010/slicer">
                <sle:slicer xmlns:sle="http://schemas.microsoft.com/office/drawing/2010/slicer" name="Age Groups 1"/>
              </a:graphicData>
            </a:graphic>
          </xdr:graphicFrame>
        </mc:Choice>
        <mc:Fallback>
          <xdr:sp macro="" textlink="">
            <xdr:nvSpPr>
              <xdr:cNvPr id="0" name=""/>
              <xdr:cNvSpPr>
                <a:spLocks noTextEdit="1"/>
              </xdr:cNvSpPr>
            </xdr:nvSpPr>
            <xdr:spPr>
              <a:xfrm>
                <a:off x="2245587" y="1379597"/>
                <a:ext cx="4231937" cy="72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 name="Gender 3">
                <a:extLst>
                  <a:ext uri="{FF2B5EF4-FFF2-40B4-BE49-F238E27FC236}">
                    <a16:creationId xmlns:a16="http://schemas.microsoft.com/office/drawing/2014/main" id="{4EC4FAEF-C8F5-7142-9476-92F8BA38497A}"/>
                  </a:ext>
                </a:extLst>
              </xdr:cNvPr>
              <xdr:cNvGraphicFramePr/>
            </xdr:nvGraphicFramePr>
            <xdr:xfrm>
              <a:off x="248161" y="1369265"/>
              <a:ext cx="1897701" cy="73152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248161" y="1379597"/>
                <a:ext cx="1868096" cy="72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248161</xdr:colOff>
      <xdr:row>10</xdr:row>
      <xdr:rowOff>127359</xdr:rowOff>
    </xdr:from>
    <xdr:to>
      <xdr:col>7</xdr:col>
      <xdr:colOff>756638</xdr:colOff>
      <xdr:row>14</xdr:row>
      <xdr:rowOff>41408</xdr:rowOff>
    </xdr:to>
    <xdr:grpSp>
      <xdr:nvGrpSpPr>
        <xdr:cNvPr id="20" name="Group 19">
          <a:extLst>
            <a:ext uri="{FF2B5EF4-FFF2-40B4-BE49-F238E27FC236}">
              <a16:creationId xmlns:a16="http://schemas.microsoft.com/office/drawing/2014/main" id="{5E6E2701-8037-7BB6-65A6-EDA03445E134}"/>
            </a:ext>
          </a:extLst>
        </xdr:cNvPr>
        <xdr:cNvGrpSpPr/>
      </xdr:nvGrpSpPr>
      <xdr:grpSpPr>
        <a:xfrm>
          <a:off x="248161" y="2236851"/>
          <a:ext cx="6234240" cy="732015"/>
          <a:chOff x="248161" y="2224492"/>
          <a:chExt cx="6332960" cy="731520"/>
        </a:xfrm>
      </xdr:grpSpPr>
      <mc:AlternateContent xmlns:mc="http://schemas.openxmlformats.org/markup-compatibility/2006" xmlns:a14="http://schemas.microsoft.com/office/drawing/2010/main">
        <mc:Choice Requires="a14">
          <xdr:graphicFrame macro="">
            <xdr:nvGraphicFramePr>
              <xdr:cNvPr id="9" name="Product Category 1">
                <a:extLst>
                  <a:ext uri="{FF2B5EF4-FFF2-40B4-BE49-F238E27FC236}">
                    <a16:creationId xmlns:a16="http://schemas.microsoft.com/office/drawing/2014/main" id="{F1E22D41-2AF2-C747-B046-FA66B99C7F9F}"/>
                  </a:ext>
                </a:extLst>
              </xdr:cNvPr>
              <xdr:cNvGraphicFramePr/>
            </xdr:nvGraphicFramePr>
            <xdr:xfrm>
              <a:off x="3591033" y="2224492"/>
              <a:ext cx="2990088" cy="73152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3566761" y="2064109"/>
                <a:ext cx="2968377" cy="739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Season 1">
                <a:extLst>
                  <a:ext uri="{FF2B5EF4-FFF2-40B4-BE49-F238E27FC236}">
                    <a16:creationId xmlns:a16="http://schemas.microsoft.com/office/drawing/2014/main" id="{BA1CAAB9-C4C5-C941-AAB6-6CFE94DCBDF7}"/>
                  </a:ext>
                </a:extLst>
              </xdr:cNvPr>
              <xdr:cNvGraphicFramePr/>
            </xdr:nvGraphicFramePr>
            <xdr:xfrm>
              <a:off x="248161" y="2224492"/>
              <a:ext cx="3183256" cy="73152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248161" y="2064109"/>
                <a:ext cx="3160143" cy="739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8</xdr:col>
      <xdr:colOff>432450</xdr:colOff>
      <xdr:row>6</xdr:row>
      <xdr:rowOff>145978</xdr:rowOff>
    </xdr:from>
    <xdr:to>
      <xdr:col>11</xdr:col>
      <xdr:colOff>286473</xdr:colOff>
      <xdr:row>9</xdr:row>
      <xdr:rowOff>191406</xdr:rowOff>
    </xdr:to>
    <xdr:sp macro="" textlink="">
      <xdr:nvSpPr>
        <xdr:cNvPr id="21" name="Rounded Rectangle 20">
          <a:extLst>
            <a:ext uri="{FF2B5EF4-FFF2-40B4-BE49-F238E27FC236}">
              <a16:creationId xmlns:a16="http://schemas.microsoft.com/office/drawing/2014/main" id="{D228B7C8-BCDD-BD36-A01F-2125C7353F2B}"/>
            </a:ext>
          </a:extLst>
        </xdr:cNvPr>
        <xdr:cNvSpPr/>
      </xdr:nvSpPr>
      <xdr:spPr>
        <a:xfrm>
          <a:off x="7089002" y="1167817"/>
          <a:ext cx="2350230" cy="731520"/>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TOTAL SALES</a:t>
          </a:r>
        </a:p>
      </xdr:txBody>
    </xdr:sp>
    <xdr:clientData/>
  </xdr:twoCellAnchor>
  <xdr:twoCellAnchor>
    <xdr:from>
      <xdr:col>11</xdr:col>
      <xdr:colOff>794354</xdr:colOff>
      <xdr:row>6</xdr:row>
      <xdr:rowOff>131379</xdr:rowOff>
    </xdr:from>
    <xdr:to>
      <xdr:col>14</xdr:col>
      <xdr:colOff>648377</xdr:colOff>
      <xdr:row>9</xdr:row>
      <xdr:rowOff>176807</xdr:rowOff>
    </xdr:to>
    <xdr:sp macro="" textlink="">
      <xdr:nvSpPr>
        <xdr:cNvPr id="22" name="Rounded Rectangle 21">
          <a:extLst>
            <a:ext uri="{FF2B5EF4-FFF2-40B4-BE49-F238E27FC236}">
              <a16:creationId xmlns:a16="http://schemas.microsoft.com/office/drawing/2014/main" id="{F2382C36-E079-9543-9D11-75E5FD76284F}"/>
            </a:ext>
          </a:extLst>
        </xdr:cNvPr>
        <xdr:cNvSpPr/>
      </xdr:nvSpPr>
      <xdr:spPr>
        <a:xfrm>
          <a:off x="9947113" y="1357586"/>
          <a:ext cx="2350230" cy="731520"/>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TOTAL TRANSACTIONS</a:t>
          </a:r>
        </a:p>
      </xdr:txBody>
    </xdr:sp>
    <xdr:clientData/>
  </xdr:twoCellAnchor>
  <xdr:twoCellAnchor>
    <xdr:from>
      <xdr:col>15</xdr:col>
      <xdr:colOff>324190</xdr:colOff>
      <xdr:row>6</xdr:row>
      <xdr:rowOff>145977</xdr:rowOff>
    </xdr:from>
    <xdr:to>
      <xdr:col>18</xdr:col>
      <xdr:colOff>178213</xdr:colOff>
      <xdr:row>9</xdr:row>
      <xdr:rowOff>191405</xdr:rowOff>
    </xdr:to>
    <xdr:sp macro="" textlink="">
      <xdr:nvSpPr>
        <xdr:cNvPr id="23" name="Rounded Rectangle 22">
          <a:extLst>
            <a:ext uri="{FF2B5EF4-FFF2-40B4-BE49-F238E27FC236}">
              <a16:creationId xmlns:a16="http://schemas.microsoft.com/office/drawing/2014/main" id="{89DEC58A-698A-334D-A8B7-E7AB513030C2}"/>
            </a:ext>
          </a:extLst>
        </xdr:cNvPr>
        <xdr:cNvSpPr/>
      </xdr:nvSpPr>
      <xdr:spPr>
        <a:xfrm>
          <a:off x="12805224" y="1372184"/>
          <a:ext cx="2350230" cy="731520"/>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AVERAGE BASKET SIZE</a:t>
          </a:r>
        </a:p>
      </xdr:txBody>
    </xdr:sp>
    <xdr:clientData/>
  </xdr:twoCellAnchor>
  <xdr:twoCellAnchor>
    <xdr:from>
      <xdr:col>18</xdr:col>
      <xdr:colOff>686092</xdr:colOff>
      <xdr:row>6</xdr:row>
      <xdr:rowOff>131379</xdr:rowOff>
    </xdr:from>
    <xdr:to>
      <xdr:col>21</xdr:col>
      <xdr:colOff>540115</xdr:colOff>
      <xdr:row>9</xdr:row>
      <xdr:rowOff>176807</xdr:rowOff>
    </xdr:to>
    <xdr:sp macro="" textlink="">
      <xdr:nvSpPr>
        <xdr:cNvPr id="24" name="Rounded Rectangle 23">
          <a:extLst>
            <a:ext uri="{FF2B5EF4-FFF2-40B4-BE49-F238E27FC236}">
              <a16:creationId xmlns:a16="http://schemas.microsoft.com/office/drawing/2014/main" id="{03128D4F-C835-A74E-A640-4741298708B4}"/>
            </a:ext>
          </a:extLst>
        </xdr:cNvPr>
        <xdr:cNvSpPr/>
      </xdr:nvSpPr>
      <xdr:spPr>
        <a:xfrm>
          <a:off x="15663333" y="1357586"/>
          <a:ext cx="2350230" cy="731520"/>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TOP-SELLING CATEGORY</a:t>
          </a:r>
        </a:p>
      </xdr:txBody>
    </xdr:sp>
    <xdr:clientData/>
  </xdr:twoCellAnchor>
  <xdr:twoCellAnchor>
    <xdr:from>
      <xdr:col>11</xdr:col>
      <xdr:colOff>794354</xdr:colOff>
      <xdr:row>10</xdr:row>
      <xdr:rowOff>127359</xdr:rowOff>
    </xdr:from>
    <xdr:to>
      <xdr:col>14</xdr:col>
      <xdr:colOff>648377</xdr:colOff>
      <xdr:row>14</xdr:row>
      <xdr:rowOff>41408</xdr:rowOff>
    </xdr:to>
    <xdr:sp macro="" textlink="total_transactions">
      <xdr:nvSpPr>
        <xdr:cNvPr id="28" name="Rounded Rectangle 27">
          <a:extLst>
            <a:ext uri="{FF2B5EF4-FFF2-40B4-BE49-F238E27FC236}">
              <a16:creationId xmlns:a16="http://schemas.microsoft.com/office/drawing/2014/main" id="{37E6FDA6-E189-4B40-B964-84B33B1C498F}"/>
            </a:ext>
          </a:extLst>
        </xdr:cNvPr>
        <xdr:cNvSpPr/>
      </xdr:nvSpPr>
      <xdr:spPr>
        <a:xfrm>
          <a:off x="9947113" y="2039658"/>
          <a:ext cx="2350230" cy="731520"/>
        </a:xfrm>
        <a:prstGeom prst="round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rtlCol="0" anchor="ctr"/>
        <a:lstStyle/>
        <a:p>
          <a:pPr algn="ctr"/>
          <a:fld id="{D1A07B11-767B-5447-94A2-986132F599E9}" type="TxLink">
            <a:rPr lang="en-US" sz="2400" b="0" i="0" u="none" strike="noStrike">
              <a:solidFill>
                <a:schemeClr val="accent1"/>
              </a:solidFill>
              <a:latin typeface="Aptos Narrow"/>
            </a:rPr>
            <a:pPr algn="ctr"/>
            <a:t>1000</a:t>
          </a:fld>
          <a:endParaRPr lang="en-US" sz="3200" b="1">
            <a:solidFill>
              <a:schemeClr val="accent1"/>
            </a:solidFill>
          </a:endParaRPr>
        </a:p>
      </xdr:txBody>
    </xdr:sp>
    <xdr:clientData/>
  </xdr:twoCellAnchor>
  <xdr:twoCellAnchor>
    <xdr:from>
      <xdr:col>15</xdr:col>
      <xdr:colOff>324190</xdr:colOff>
      <xdr:row>10</xdr:row>
      <xdr:rowOff>127359</xdr:rowOff>
    </xdr:from>
    <xdr:to>
      <xdr:col>18</xdr:col>
      <xdr:colOff>178213</xdr:colOff>
      <xdr:row>14</xdr:row>
      <xdr:rowOff>41408</xdr:rowOff>
    </xdr:to>
    <xdr:sp macro="" textlink="avg_basket_size">
      <xdr:nvSpPr>
        <xdr:cNvPr id="29" name="Rounded Rectangle 28">
          <a:extLst>
            <a:ext uri="{FF2B5EF4-FFF2-40B4-BE49-F238E27FC236}">
              <a16:creationId xmlns:a16="http://schemas.microsoft.com/office/drawing/2014/main" id="{10E07F38-8D27-E743-AA5F-04AFFF911B50}"/>
            </a:ext>
          </a:extLst>
        </xdr:cNvPr>
        <xdr:cNvSpPr/>
      </xdr:nvSpPr>
      <xdr:spPr>
        <a:xfrm>
          <a:off x="12805224" y="2244026"/>
          <a:ext cx="2350230" cy="731520"/>
        </a:xfrm>
        <a:prstGeom prst="round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rtlCol="0" anchor="ctr"/>
        <a:lstStyle/>
        <a:p>
          <a:pPr algn="ctr"/>
          <a:fld id="{F402614C-34EB-3F4F-B1F4-055D8C0FDCFC}" type="TxLink">
            <a:rPr lang="en-US" sz="2400" b="0" i="0" u="none" strike="noStrike">
              <a:solidFill>
                <a:schemeClr val="accent1"/>
              </a:solidFill>
              <a:latin typeface="Aptos Narrow"/>
            </a:rPr>
            <a:pPr algn="ctr"/>
            <a:t>2.51</a:t>
          </a:fld>
          <a:endParaRPr lang="en-US" sz="3200" b="1">
            <a:solidFill>
              <a:schemeClr val="accent1"/>
            </a:solidFill>
          </a:endParaRPr>
        </a:p>
      </xdr:txBody>
    </xdr:sp>
    <xdr:clientData/>
  </xdr:twoCellAnchor>
  <xdr:twoCellAnchor>
    <xdr:from>
      <xdr:col>18</xdr:col>
      <xdr:colOff>686092</xdr:colOff>
      <xdr:row>10</xdr:row>
      <xdr:rowOff>127359</xdr:rowOff>
    </xdr:from>
    <xdr:to>
      <xdr:col>21</xdr:col>
      <xdr:colOff>540115</xdr:colOff>
      <xdr:row>14</xdr:row>
      <xdr:rowOff>41408</xdr:rowOff>
    </xdr:to>
    <xdr:sp macro="" textlink="top_category">
      <xdr:nvSpPr>
        <xdr:cNvPr id="30" name="Rounded Rectangle 29">
          <a:extLst>
            <a:ext uri="{FF2B5EF4-FFF2-40B4-BE49-F238E27FC236}">
              <a16:creationId xmlns:a16="http://schemas.microsoft.com/office/drawing/2014/main" id="{D6D59675-01A6-A740-930F-7B9435464536}"/>
            </a:ext>
          </a:extLst>
        </xdr:cNvPr>
        <xdr:cNvSpPr/>
      </xdr:nvSpPr>
      <xdr:spPr>
        <a:xfrm>
          <a:off x="15663333" y="2244026"/>
          <a:ext cx="2350230" cy="731520"/>
        </a:xfrm>
        <a:prstGeom prst="round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rtlCol="0" anchor="ctr"/>
        <a:lstStyle/>
        <a:p>
          <a:pPr algn="ctr"/>
          <a:fld id="{F6138FDF-6F6C-7C4D-B2B0-503C071DBC92}" type="TxLink">
            <a:rPr lang="en-US" sz="2400" b="0" i="0" u="none" strike="noStrike">
              <a:solidFill>
                <a:schemeClr val="accent1"/>
              </a:solidFill>
              <a:latin typeface="Aptos Narrow"/>
            </a:rPr>
            <a:pPr algn="ctr"/>
            <a:t>Electronics</a:t>
          </a:fld>
          <a:endParaRPr lang="en-US" sz="3200" b="1">
            <a:solidFill>
              <a:schemeClr val="accent1"/>
            </a:solidFill>
          </a:endParaRPr>
        </a:p>
      </xdr:txBody>
    </xdr:sp>
    <xdr:clientData/>
  </xdr:twoCellAnchor>
  <xdr:twoCellAnchor>
    <xdr:from>
      <xdr:col>8</xdr:col>
      <xdr:colOff>432450</xdr:colOff>
      <xdr:row>10</xdr:row>
      <xdr:rowOff>127359</xdr:rowOff>
    </xdr:from>
    <xdr:to>
      <xdr:col>11</xdr:col>
      <xdr:colOff>286473</xdr:colOff>
      <xdr:row>14</xdr:row>
      <xdr:rowOff>41408</xdr:rowOff>
    </xdr:to>
    <xdr:sp macro="" textlink="total_sales">
      <xdr:nvSpPr>
        <xdr:cNvPr id="31" name="Rounded Rectangle 30">
          <a:extLst>
            <a:ext uri="{FF2B5EF4-FFF2-40B4-BE49-F238E27FC236}">
              <a16:creationId xmlns:a16="http://schemas.microsoft.com/office/drawing/2014/main" id="{2F22B5EA-4B22-EE46-81C8-1B65F6CF5A02}"/>
            </a:ext>
          </a:extLst>
        </xdr:cNvPr>
        <xdr:cNvSpPr/>
      </xdr:nvSpPr>
      <xdr:spPr>
        <a:xfrm>
          <a:off x="7089002" y="2039658"/>
          <a:ext cx="2350230" cy="731520"/>
        </a:xfrm>
        <a:prstGeom prst="round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rtlCol="0" anchor="ctr"/>
        <a:lstStyle/>
        <a:p>
          <a:pPr algn="ctr"/>
          <a:fld id="{A0E55A0B-73AE-334C-A07C-B1575BCBCBEA}" type="TxLink">
            <a:rPr lang="en-US" sz="2400" b="0" i="0" u="none" strike="noStrike">
              <a:solidFill>
                <a:schemeClr val="accent1"/>
              </a:solidFill>
              <a:latin typeface="Aptos Narrow"/>
            </a:rPr>
            <a:pPr algn="ctr"/>
            <a:t>$4,56,000.00</a:t>
          </a:fld>
          <a:endParaRPr lang="en-US" sz="3200" b="1">
            <a:solidFill>
              <a:schemeClr val="accent1"/>
            </a:solidFill>
          </a:endParaRPr>
        </a:p>
      </xdr:txBody>
    </xdr:sp>
    <xdr:clientData/>
  </xdr:twoCellAnchor>
  <xdr:twoCellAnchor>
    <xdr:from>
      <xdr:col>20</xdr:col>
      <xdr:colOff>244819</xdr:colOff>
      <xdr:row>56</xdr:row>
      <xdr:rowOff>0</xdr:rowOff>
    </xdr:from>
    <xdr:to>
      <xdr:col>21</xdr:col>
      <xdr:colOff>535542</xdr:colOff>
      <xdr:row>57</xdr:row>
      <xdr:rowOff>61205</xdr:rowOff>
    </xdr:to>
    <xdr:sp macro="" textlink="">
      <xdr:nvSpPr>
        <xdr:cNvPr id="17" name="TextBox 16">
          <a:extLst>
            <a:ext uri="{FF2B5EF4-FFF2-40B4-BE49-F238E27FC236}">
              <a16:creationId xmlns:a16="http://schemas.microsoft.com/office/drawing/2014/main" id="{183EA30B-BA57-AEFB-C872-C259D67CBF3C}"/>
            </a:ext>
          </a:extLst>
        </xdr:cNvPr>
        <xdr:cNvSpPr txBox="1"/>
      </xdr:nvSpPr>
      <xdr:spPr>
        <a:xfrm>
          <a:off x="16770120" y="11016867"/>
          <a:ext cx="1116988" cy="306025"/>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ctr"/>
        <a:lstStyle/>
        <a:p>
          <a:pPr algn="ctr"/>
          <a:r>
            <a:rPr lang="en-US" sz="1400"/>
            <a:t>Buse Şimşek</a:t>
          </a:r>
        </a:p>
      </xdr:txBody>
    </xdr:sp>
    <xdr:clientData/>
  </xdr:twoCellAnchor>
  <xdr:twoCellAnchor editAs="oneCell">
    <xdr:from>
      <xdr:col>11</xdr:col>
      <xdr:colOff>0</xdr:colOff>
      <xdr:row>108</xdr:row>
      <xdr:rowOff>0</xdr:rowOff>
    </xdr:from>
    <xdr:to>
      <xdr:col>20</xdr:col>
      <xdr:colOff>336015</xdr:colOff>
      <xdr:row>131</xdr:row>
      <xdr:rowOff>112278</xdr:rowOff>
    </xdr:to>
    <xdr:pic>
      <xdr:nvPicPr>
        <xdr:cNvPr id="25" name="Picture 24">
          <a:extLst>
            <a:ext uri="{FF2B5EF4-FFF2-40B4-BE49-F238E27FC236}">
              <a16:creationId xmlns:a16="http://schemas.microsoft.com/office/drawing/2014/main" id="{A784F3EC-CAE0-BEE9-9AF0-3125141DD2B5}"/>
            </a:ext>
          </a:extLst>
        </xdr:cNvPr>
        <xdr:cNvPicPr>
          <a:picLocks noChangeAspect="1"/>
        </xdr:cNvPicPr>
      </xdr:nvPicPr>
      <xdr:blipFill>
        <a:blip xmlns:r="http://schemas.openxmlformats.org/officeDocument/2006/relationships" r:embed="rId6"/>
        <a:stretch>
          <a:fillRect/>
        </a:stretch>
      </xdr:blipFill>
      <xdr:spPr>
        <a:xfrm>
          <a:off x="9088916" y="21406386"/>
          <a:ext cx="7772400" cy="468733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use Şimşek" refreshedDate="45844.66293298611" createdVersion="8" refreshedVersion="8" minRefreshableVersion="3" recordCount="1000" xr:uid="{055F35A4-7BCC-754F-9780-91A67AB867E7}">
  <cacheSource type="worksheet">
    <worksheetSource name="retail_sales_dataset"/>
  </cacheSource>
  <cacheFields count="14">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13"/>
    </cacheField>
    <cacheField name="Customer ID" numFmtId="0">
      <sharedItems/>
    </cacheField>
    <cacheField name="Gender" numFmtId="0">
      <sharedItems count="2">
        <s v="Male"/>
        <s v="Female"/>
      </sharedItems>
    </cacheField>
    <cacheField name="Age" numFmtId="1">
      <sharedItems containsSemiMixedTypes="0" containsString="0" containsNumber="1" containsInteger="1" minValue="18" maxValue="64"/>
    </cacheField>
    <cacheField name="Product Category" numFmtId="0">
      <sharedItems count="3">
        <s v="Beauty"/>
        <s v="Clothing"/>
        <s v="Electronics"/>
      </sharedItems>
    </cacheField>
    <cacheField name="Quantity" numFmtId="1">
      <sharedItems containsSemiMixedTypes="0" containsString="0" containsNumber="1" containsInteger="1" minValue="1" maxValue="4"/>
    </cacheField>
    <cacheField name="Price per Unit" numFmtId="164">
      <sharedItems containsSemiMixedTypes="0" containsString="0" containsNumber="1" containsInteger="1" minValue="25" maxValue="500"/>
    </cacheField>
    <cacheField name="Total Amount" numFmtId="164">
      <sharedItems containsSemiMixedTypes="0" containsString="0" containsNumber="1" containsInteger="1" minValue="25" maxValue="2000"/>
    </cacheField>
    <cacheField name="Age Groups" numFmtId="1">
      <sharedItems count="5">
        <s v="25–34"/>
        <s v="45–54"/>
        <s v="35–44"/>
        <s v="55–64"/>
        <s v="18–24"/>
      </sharedItems>
    </cacheField>
    <cacheField name="Season" numFmtId="0">
      <sharedItems count="4">
        <s v="Fall"/>
        <s v="Winter"/>
        <s v="Spring"/>
        <s v="Summer"/>
      </sharedItems>
    </cacheField>
    <cacheField name="Months (Date)" numFmtId="0" databaseField="0">
      <fieldGroup base="1">
        <rangePr groupBy="months" startDate="2023-01-01T00:00:00" endDate="2024-01-02T00:00:00"/>
        <groupItems count="14">
          <s v="&lt;1.01.2023"/>
          <s v="Jan"/>
          <s v="Feb"/>
          <s v="Mar"/>
          <s v="Apr"/>
          <s v="May"/>
          <s v="Jun"/>
          <s v="Jul"/>
          <s v="Aug"/>
          <s v="Sep"/>
          <s v="Oct"/>
          <s v="Nov"/>
          <s v="Dec"/>
          <s v="&gt;2.01.2024"/>
        </groupItems>
      </fieldGroup>
    </cacheField>
    <cacheField name="Quarters (Date)" numFmtId="0" databaseField="0">
      <fieldGroup base="1">
        <rangePr groupBy="quarters" startDate="2023-01-01T00:00:00" endDate="2024-01-02T00:00:00"/>
        <groupItems count="6">
          <s v="&lt;1.01.2023"/>
          <s v="Qtr1"/>
          <s v="Qtr2"/>
          <s v="Qtr3"/>
          <s v="Qtr4"/>
          <s v="&gt;2.01.2024"/>
        </groupItems>
      </fieldGroup>
    </cacheField>
    <cacheField name="Years (Date)" numFmtId="0" databaseField="0">
      <fieldGroup base="1">
        <rangePr groupBy="years" startDate="2023-01-01T00:00:00" endDate="2024-01-02T00:00:00"/>
        <groupItems count="4">
          <s v="&lt;1.01.2023"/>
          <s v="2023"/>
          <s v="2024"/>
          <s v="&gt;2.01.2024"/>
        </groupItems>
      </fieldGroup>
    </cacheField>
  </cacheFields>
  <extLst>
    <ext xmlns:x14="http://schemas.microsoft.com/office/spreadsheetml/2009/9/main" uri="{725AE2AE-9491-48be-B2B4-4EB974FC3084}">
      <x14:pivotCacheDefinition pivotCacheId="6927953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s v="CUST001"/>
    <x v="0"/>
    <n v="34"/>
    <x v="0"/>
    <n v="3"/>
    <n v="50"/>
    <n v="150"/>
    <x v="0"/>
    <x v="0"/>
  </r>
  <r>
    <n v="2"/>
    <x v="1"/>
    <s v="CUST002"/>
    <x v="1"/>
    <n v="26"/>
    <x v="1"/>
    <n v="2"/>
    <n v="500"/>
    <n v="1000"/>
    <x v="0"/>
    <x v="1"/>
  </r>
  <r>
    <n v="3"/>
    <x v="2"/>
    <s v="CUST003"/>
    <x v="0"/>
    <n v="50"/>
    <x v="2"/>
    <n v="1"/>
    <n v="30"/>
    <n v="30"/>
    <x v="1"/>
    <x v="1"/>
  </r>
  <r>
    <n v="4"/>
    <x v="3"/>
    <s v="CUST004"/>
    <x v="0"/>
    <n v="37"/>
    <x v="1"/>
    <n v="1"/>
    <n v="500"/>
    <n v="500"/>
    <x v="2"/>
    <x v="2"/>
  </r>
  <r>
    <n v="5"/>
    <x v="4"/>
    <s v="CUST005"/>
    <x v="0"/>
    <n v="30"/>
    <x v="0"/>
    <n v="2"/>
    <n v="50"/>
    <n v="100"/>
    <x v="0"/>
    <x v="2"/>
  </r>
  <r>
    <n v="6"/>
    <x v="5"/>
    <s v="CUST006"/>
    <x v="1"/>
    <n v="45"/>
    <x v="0"/>
    <n v="1"/>
    <n v="30"/>
    <n v="30"/>
    <x v="1"/>
    <x v="2"/>
  </r>
  <r>
    <n v="7"/>
    <x v="6"/>
    <s v="CUST007"/>
    <x v="0"/>
    <n v="46"/>
    <x v="1"/>
    <n v="2"/>
    <n v="25"/>
    <n v="50"/>
    <x v="1"/>
    <x v="2"/>
  </r>
  <r>
    <n v="8"/>
    <x v="7"/>
    <s v="CUST008"/>
    <x v="0"/>
    <n v="30"/>
    <x v="2"/>
    <n v="4"/>
    <n v="25"/>
    <n v="100"/>
    <x v="0"/>
    <x v="1"/>
  </r>
  <r>
    <n v="9"/>
    <x v="8"/>
    <s v="CUST009"/>
    <x v="0"/>
    <n v="63"/>
    <x v="2"/>
    <n v="2"/>
    <n v="300"/>
    <n v="600"/>
    <x v="3"/>
    <x v="1"/>
  </r>
  <r>
    <n v="10"/>
    <x v="9"/>
    <s v="CUST010"/>
    <x v="1"/>
    <n v="52"/>
    <x v="1"/>
    <n v="4"/>
    <n v="50"/>
    <n v="200"/>
    <x v="1"/>
    <x v="0"/>
  </r>
  <r>
    <n v="11"/>
    <x v="10"/>
    <s v="CUST011"/>
    <x v="0"/>
    <n v="23"/>
    <x v="1"/>
    <n v="2"/>
    <n v="50"/>
    <n v="100"/>
    <x v="4"/>
    <x v="1"/>
  </r>
  <r>
    <n v="12"/>
    <x v="11"/>
    <s v="CUST012"/>
    <x v="0"/>
    <n v="35"/>
    <x v="0"/>
    <n v="3"/>
    <n v="25"/>
    <n v="75"/>
    <x v="2"/>
    <x v="0"/>
  </r>
  <r>
    <n v="13"/>
    <x v="12"/>
    <s v="CUST013"/>
    <x v="0"/>
    <n v="22"/>
    <x v="2"/>
    <n v="3"/>
    <n v="500"/>
    <n v="1500"/>
    <x v="4"/>
    <x v="3"/>
  </r>
  <r>
    <n v="14"/>
    <x v="13"/>
    <s v="CUST014"/>
    <x v="0"/>
    <n v="64"/>
    <x v="1"/>
    <n v="4"/>
    <n v="30"/>
    <n v="120"/>
    <x v="3"/>
    <x v="1"/>
  </r>
  <r>
    <n v="15"/>
    <x v="14"/>
    <s v="CUST015"/>
    <x v="1"/>
    <n v="42"/>
    <x v="2"/>
    <n v="4"/>
    <n v="500"/>
    <n v="2000"/>
    <x v="2"/>
    <x v="1"/>
  </r>
  <r>
    <n v="16"/>
    <x v="15"/>
    <s v="CUST016"/>
    <x v="0"/>
    <n v="19"/>
    <x v="1"/>
    <n v="3"/>
    <n v="500"/>
    <n v="1500"/>
    <x v="4"/>
    <x v="1"/>
  </r>
  <r>
    <n v="17"/>
    <x v="16"/>
    <s v="CUST017"/>
    <x v="1"/>
    <n v="27"/>
    <x v="1"/>
    <n v="4"/>
    <n v="25"/>
    <n v="100"/>
    <x v="0"/>
    <x v="2"/>
  </r>
  <r>
    <n v="18"/>
    <x v="17"/>
    <s v="CUST018"/>
    <x v="1"/>
    <n v="47"/>
    <x v="2"/>
    <n v="2"/>
    <n v="25"/>
    <n v="50"/>
    <x v="1"/>
    <x v="2"/>
  </r>
  <r>
    <n v="19"/>
    <x v="18"/>
    <s v="CUST019"/>
    <x v="1"/>
    <n v="62"/>
    <x v="1"/>
    <n v="2"/>
    <n v="25"/>
    <n v="50"/>
    <x v="3"/>
    <x v="0"/>
  </r>
  <r>
    <n v="20"/>
    <x v="19"/>
    <s v="CUST020"/>
    <x v="0"/>
    <n v="22"/>
    <x v="1"/>
    <n v="3"/>
    <n v="300"/>
    <n v="900"/>
    <x v="4"/>
    <x v="0"/>
  </r>
  <r>
    <n v="21"/>
    <x v="20"/>
    <s v="CUST021"/>
    <x v="1"/>
    <n v="50"/>
    <x v="0"/>
    <n v="1"/>
    <n v="500"/>
    <n v="500"/>
    <x v="1"/>
    <x v="1"/>
  </r>
  <r>
    <n v="22"/>
    <x v="21"/>
    <s v="CUST022"/>
    <x v="0"/>
    <n v="18"/>
    <x v="1"/>
    <n v="2"/>
    <n v="50"/>
    <n v="100"/>
    <x v="4"/>
    <x v="0"/>
  </r>
  <r>
    <n v="23"/>
    <x v="22"/>
    <s v="CUST023"/>
    <x v="1"/>
    <n v="35"/>
    <x v="1"/>
    <n v="4"/>
    <n v="30"/>
    <n v="120"/>
    <x v="2"/>
    <x v="2"/>
  </r>
  <r>
    <n v="24"/>
    <x v="23"/>
    <s v="CUST024"/>
    <x v="1"/>
    <n v="49"/>
    <x v="1"/>
    <n v="1"/>
    <n v="300"/>
    <n v="300"/>
    <x v="1"/>
    <x v="0"/>
  </r>
  <r>
    <n v="25"/>
    <x v="24"/>
    <s v="CUST025"/>
    <x v="1"/>
    <n v="64"/>
    <x v="0"/>
    <n v="1"/>
    <n v="50"/>
    <n v="50"/>
    <x v="3"/>
    <x v="1"/>
  </r>
  <r>
    <n v="26"/>
    <x v="9"/>
    <s v="CUST026"/>
    <x v="1"/>
    <n v="28"/>
    <x v="2"/>
    <n v="2"/>
    <n v="500"/>
    <n v="1000"/>
    <x v="0"/>
    <x v="0"/>
  </r>
  <r>
    <n v="27"/>
    <x v="25"/>
    <s v="CUST027"/>
    <x v="1"/>
    <n v="38"/>
    <x v="0"/>
    <n v="2"/>
    <n v="25"/>
    <n v="50"/>
    <x v="2"/>
    <x v="3"/>
  </r>
  <r>
    <n v="28"/>
    <x v="26"/>
    <s v="CUST028"/>
    <x v="1"/>
    <n v="43"/>
    <x v="0"/>
    <n v="1"/>
    <n v="500"/>
    <n v="500"/>
    <x v="2"/>
    <x v="2"/>
  </r>
  <r>
    <n v="29"/>
    <x v="27"/>
    <s v="CUST029"/>
    <x v="1"/>
    <n v="42"/>
    <x v="2"/>
    <n v="1"/>
    <n v="30"/>
    <n v="30"/>
    <x v="2"/>
    <x v="3"/>
  </r>
  <r>
    <n v="30"/>
    <x v="28"/>
    <s v="CUST030"/>
    <x v="1"/>
    <n v="39"/>
    <x v="0"/>
    <n v="3"/>
    <n v="300"/>
    <n v="900"/>
    <x v="2"/>
    <x v="0"/>
  </r>
  <r>
    <n v="31"/>
    <x v="29"/>
    <s v="CUST031"/>
    <x v="0"/>
    <n v="44"/>
    <x v="2"/>
    <n v="4"/>
    <n v="300"/>
    <n v="1200"/>
    <x v="2"/>
    <x v="2"/>
  </r>
  <r>
    <n v="32"/>
    <x v="30"/>
    <s v="CUST032"/>
    <x v="0"/>
    <n v="30"/>
    <x v="0"/>
    <n v="3"/>
    <n v="30"/>
    <n v="90"/>
    <x v="0"/>
    <x v="1"/>
  </r>
  <r>
    <n v="33"/>
    <x v="31"/>
    <s v="CUST033"/>
    <x v="1"/>
    <n v="50"/>
    <x v="2"/>
    <n v="2"/>
    <n v="50"/>
    <n v="100"/>
    <x v="1"/>
    <x v="2"/>
  </r>
  <r>
    <n v="34"/>
    <x v="32"/>
    <s v="CUST034"/>
    <x v="1"/>
    <n v="51"/>
    <x v="1"/>
    <n v="3"/>
    <n v="50"/>
    <n v="150"/>
    <x v="1"/>
    <x v="1"/>
  </r>
  <r>
    <n v="35"/>
    <x v="12"/>
    <s v="CUST035"/>
    <x v="1"/>
    <n v="58"/>
    <x v="0"/>
    <n v="3"/>
    <n v="300"/>
    <n v="900"/>
    <x v="3"/>
    <x v="3"/>
  </r>
  <r>
    <n v="36"/>
    <x v="33"/>
    <s v="CUST036"/>
    <x v="0"/>
    <n v="52"/>
    <x v="0"/>
    <n v="3"/>
    <n v="300"/>
    <n v="900"/>
    <x v="1"/>
    <x v="3"/>
  </r>
  <r>
    <n v="37"/>
    <x v="29"/>
    <s v="CUST037"/>
    <x v="1"/>
    <n v="18"/>
    <x v="0"/>
    <n v="3"/>
    <n v="25"/>
    <n v="75"/>
    <x v="4"/>
    <x v="2"/>
  </r>
  <r>
    <n v="38"/>
    <x v="34"/>
    <s v="CUST038"/>
    <x v="0"/>
    <n v="38"/>
    <x v="0"/>
    <n v="4"/>
    <n v="50"/>
    <n v="200"/>
    <x v="2"/>
    <x v="2"/>
  </r>
  <r>
    <n v="39"/>
    <x v="35"/>
    <s v="CUST039"/>
    <x v="0"/>
    <n v="23"/>
    <x v="1"/>
    <n v="4"/>
    <n v="30"/>
    <n v="120"/>
    <x v="4"/>
    <x v="2"/>
  </r>
  <r>
    <n v="40"/>
    <x v="36"/>
    <s v="CUST040"/>
    <x v="0"/>
    <n v="45"/>
    <x v="0"/>
    <n v="1"/>
    <n v="50"/>
    <n v="50"/>
    <x v="1"/>
    <x v="3"/>
  </r>
  <r>
    <n v="41"/>
    <x v="7"/>
    <s v="CUST041"/>
    <x v="0"/>
    <n v="34"/>
    <x v="1"/>
    <n v="2"/>
    <n v="25"/>
    <n v="50"/>
    <x v="0"/>
    <x v="1"/>
  </r>
  <r>
    <n v="42"/>
    <x v="15"/>
    <s v="CUST042"/>
    <x v="0"/>
    <n v="22"/>
    <x v="1"/>
    <n v="3"/>
    <n v="300"/>
    <n v="900"/>
    <x v="4"/>
    <x v="1"/>
  </r>
  <r>
    <n v="43"/>
    <x v="37"/>
    <s v="CUST043"/>
    <x v="1"/>
    <n v="48"/>
    <x v="1"/>
    <n v="1"/>
    <n v="300"/>
    <n v="300"/>
    <x v="1"/>
    <x v="3"/>
  </r>
  <r>
    <n v="44"/>
    <x v="38"/>
    <s v="CUST044"/>
    <x v="1"/>
    <n v="22"/>
    <x v="1"/>
    <n v="1"/>
    <n v="25"/>
    <n v="25"/>
    <x v="4"/>
    <x v="1"/>
  </r>
  <r>
    <n v="45"/>
    <x v="39"/>
    <s v="CUST045"/>
    <x v="1"/>
    <n v="55"/>
    <x v="2"/>
    <n v="1"/>
    <n v="30"/>
    <n v="30"/>
    <x v="3"/>
    <x v="3"/>
  </r>
  <r>
    <n v="46"/>
    <x v="40"/>
    <s v="CUST046"/>
    <x v="1"/>
    <n v="20"/>
    <x v="2"/>
    <n v="4"/>
    <n v="300"/>
    <n v="1200"/>
    <x v="4"/>
    <x v="3"/>
  </r>
  <r>
    <n v="47"/>
    <x v="41"/>
    <s v="CUST047"/>
    <x v="1"/>
    <n v="40"/>
    <x v="0"/>
    <n v="3"/>
    <n v="500"/>
    <n v="1500"/>
    <x v="2"/>
    <x v="0"/>
  </r>
  <r>
    <n v="48"/>
    <x v="42"/>
    <s v="CUST048"/>
    <x v="0"/>
    <n v="54"/>
    <x v="2"/>
    <n v="3"/>
    <n v="300"/>
    <n v="900"/>
    <x v="1"/>
    <x v="2"/>
  </r>
  <r>
    <n v="49"/>
    <x v="43"/>
    <s v="CUST049"/>
    <x v="1"/>
    <n v="54"/>
    <x v="2"/>
    <n v="2"/>
    <n v="500"/>
    <n v="1000"/>
    <x v="1"/>
    <x v="1"/>
  </r>
  <r>
    <n v="50"/>
    <x v="44"/>
    <s v="CUST050"/>
    <x v="1"/>
    <n v="27"/>
    <x v="0"/>
    <n v="3"/>
    <n v="25"/>
    <n v="75"/>
    <x v="0"/>
    <x v="3"/>
  </r>
  <r>
    <n v="51"/>
    <x v="45"/>
    <s v="CUST051"/>
    <x v="0"/>
    <n v="27"/>
    <x v="0"/>
    <n v="3"/>
    <n v="25"/>
    <n v="75"/>
    <x v="0"/>
    <x v="0"/>
  </r>
  <r>
    <n v="52"/>
    <x v="46"/>
    <s v="CUST052"/>
    <x v="1"/>
    <n v="36"/>
    <x v="0"/>
    <n v="1"/>
    <n v="300"/>
    <n v="300"/>
    <x v="2"/>
    <x v="2"/>
  </r>
  <r>
    <n v="53"/>
    <x v="47"/>
    <s v="CUST053"/>
    <x v="0"/>
    <n v="34"/>
    <x v="2"/>
    <n v="2"/>
    <n v="50"/>
    <n v="100"/>
    <x v="0"/>
    <x v="3"/>
  </r>
  <r>
    <n v="54"/>
    <x v="48"/>
    <s v="CUST054"/>
    <x v="1"/>
    <n v="38"/>
    <x v="2"/>
    <n v="3"/>
    <n v="500"/>
    <n v="1500"/>
    <x v="2"/>
    <x v="1"/>
  </r>
  <r>
    <n v="55"/>
    <x v="49"/>
    <s v="CUST055"/>
    <x v="0"/>
    <n v="31"/>
    <x v="0"/>
    <n v="4"/>
    <n v="30"/>
    <n v="120"/>
    <x v="0"/>
    <x v="0"/>
  </r>
  <r>
    <n v="56"/>
    <x v="50"/>
    <s v="CUST056"/>
    <x v="1"/>
    <n v="26"/>
    <x v="1"/>
    <n v="3"/>
    <n v="300"/>
    <n v="900"/>
    <x v="0"/>
    <x v="2"/>
  </r>
  <r>
    <n v="57"/>
    <x v="51"/>
    <s v="CUST057"/>
    <x v="1"/>
    <n v="63"/>
    <x v="0"/>
    <n v="1"/>
    <n v="30"/>
    <n v="30"/>
    <x v="3"/>
    <x v="0"/>
  </r>
  <r>
    <n v="58"/>
    <x v="52"/>
    <s v="CUST058"/>
    <x v="0"/>
    <n v="18"/>
    <x v="1"/>
    <n v="4"/>
    <n v="300"/>
    <n v="1200"/>
    <x v="4"/>
    <x v="0"/>
  </r>
  <r>
    <n v="59"/>
    <x v="53"/>
    <s v="CUST059"/>
    <x v="0"/>
    <n v="62"/>
    <x v="1"/>
    <n v="1"/>
    <n v="50"/>
    <n v="50"/>
    <x v="3"/>
    <x v="3"/>
  </r>
  <r>
    <n v="60"/>
    <x v="54"/>
    <s v="CUST060"/>
    <x v="0"/>
    <n v="30"/>
    <x v="0"/>
    <n v="3"/>
    <n v="50"/>
    <n v="150"/>
    <x v="0"/>
    <x v="0"/>
  </r>
  <r>
    <n v="61"/>
    <x v="55"/>
    <s v="CUST061"/>
    <x v="0"/>
    <n v="21"/>
    <x v="0"/>
    <n v="4"/>
    <n v="50"/>
    <n v="200"/>
    <x v="4"/>
    <x v="2"/>
  </r>
  <r>
    <n v="62"/>
    <x v="56"/>
    <s v="CUST062"/>
    <x v="0"/>
    <n v="18"/>
    <x v="0"/>
    <n v="2"/>
    <n v="50"/>
    <n v="100"/>
    <x v="4"/>
    <x v="1"/>
  </r>
  <r>
    <n v="63"/>
    <x v="57"/>
    <s v="CUST063"/>
    <x v="0"/>
    <n v="57"/>
    <x v="2"/>
    <n v="2"/>
    <n v="25"/>
    <n v="50"/>
    <x v="3"/>
    <x v="1"/>
  </r>
  <r>
    <n v="64"/>
    <x v="58"/>
    <s v="CUST064"/>
    <x v="0"/>
    <n v="49"/>
    <x v="1"/>
    <n v="4"/>
    <n v="25"/>
    <n v="100"/>
    <x v="1"/>
    <x v="1"/>
  </r>
  <r>
    <n v="65"/>
    <x v="59"/>
    <s v="CUST065"/>
    <x v="0"/>
    <n v="51"/>
    <x v="2"/>
    <n v="4"/>
    <n v="500"/>
    <n v="2000"/>
    <x v="1"/>
    <x v="1"/>
  </r>
  <r>
    <n v="66"/>
    <x v="60"/>
    <s v="CUST066"/>
    <x v="1"/>
    <n v="45"/>
    <x v="2"/>
    <n v="1"/>
    <n v="30"/>
    <n v="30"/>
    <x v="1"/>
    <x v="2"/>
  </r>
  <r>
    <n v="67"/>
    <x v="61"/>
    <s v="CUST067"/>
    <x v="1"/>
    <n v="48"/>
    <x v="0"/>
    <n v="4"/>
    <n v="300"/>
    <n v="1200"/>
    <x v="1"/>
    <x v="2"/>
  </r>
  <r>
    <n v="68"/>
    <x v="48"/>
    <s v="CUST068"/>
    <x v="0"/>
    <n v="25"/>
    <x v="2"/>
    <n v="1"/>
    <n v="300"/>
    <n v="300"/>
    <x v="0"/>
    <x v="1"/>
  </r>
  <r>
    <n v="69"/>
    <x v="17"/>
    <s v="CUST069"/>
    <x v="1"/>
    <n v="56"/>
    <x v="0"/>
    <n v="3"/>
    <n v="25"/>
    <n v="75"/>
    <x v="3"/>
    <x v="2"/>
  </r>
  <r>
    <n v="70"/>
    <x v="62"/>
    <s v="CUST070"/>
    <x v="1"/>
    <n v="43"/>
    <x v="1"/>
    <n v="1"/>
    <n v="300"/>
    <n v="300"/>
    <x v="2"/>
    <x v="1"/>
  </r>
  <r>
    <n v="71"/>
    <x v="37"/>
    <s v="CUST071"/>
    <x v="1"/>
    <n v="51"/>
    <x v="0"/>
    <n v="4"/>
    <n v="25"/>
    <n v="100"/>
    <x v="1"/>
    <x v="3"/>
  </r>
  <r>
    <n v="72"/>
    <x v="29"/>
    <s v="CUST072"/>
    <x v="1"/>
    <n v="20"/>
    <x v="2"/>
    <n v="4"/>
    <n v="500"/>
    <n v="2000"/>
    <x v="4"/>
    <x v="2"/>
  </r>
  <r>
    <n v="73"/>
    <x v="63"/>
    <s v="CUST073"/>
    <x v="0"/>
    <n v="29"/>
    <x v="2"/>
    <n v="3"/>
    <n v="30"/>
    <n v="90"/>
    <x v="0"/>
    <x v="3"/>
  </r>
  <r>
    <n v="74"/>
    <x v="64"/>
    <s v="CUST074"/>
    <x v="1"/>
    <n v="18"/>
    <x v="0"/>
    <n v="4"/>
    <n v="500"/>
    <n v="2000"/>
    <x v="4"/>
    <x v="0"/>
  </r>
  <r>
    <n v="75"/>
    <x v="65"/>
    <s v="CUST075"/>
    <x v="0"/>
    <n v="61"/>
    <x v="0"/>
    <n v="4"/>
    <n v="50"/>
    <n v="200"/>
    <x v="3"/>
    <x v="3"/>
  </r>
  <r>
    <n v="76"/>
    <x v="66"/>
    <s v="CUST076"/>
    <x v="1"/>
    <n v="22"/>
    <x v="2"/>
    <n v="2"/>
    <n v="50"/>
    <n v="100"/>
    <x v="4"/>
    <x v="2"/>
  </r>
  <r>
    <n v="77"/>
    <x v="67"/>
    <s v="CUST077"/>
    <x v="1"/>
    <n v="47"/>
    <x v="1"/>
    <n v="2"/>
    <n v="50"/>
    <n v="100"/>
    <x v="1"/>
    <x v="3"/>
  </r>
  <r>
    <n v="78"/>
    <x v="68"/>
    <s v="CUST078"/>
    <x v="1"/>
    <n v="47"/>
    <x v="1"/>
    <n v="3"/>
    <n v="500"/>
    <n v="1500"/>
    <x v="1"/>
    <x v="3"/>
  </r>
  <r>
    <n v="79"/>
    <x v="69"/>
    <s v="CUST079"/>
    <x v="0"/>
    <n v="34"/>
    <x v="0"/>
    <n v="1"/>
    <n v="300"/>
    <n v="300"/>
    <x v="0"/>
    <x v="2"/>
  </r>
  <r>
    <n v="80"/>
    <x v="70"/>
    <s v="CUST080"/>
    <x v="1"/>
    <n v="64"/>
    <x v="1"/>
    <n v="2"/>
    <n v="30"/>
    <n v="60"/>
    <x v="3"/>
    <x v="1"/>
  </r>
  <r>
    <n v="81"/>
    <x v="71"/>
    <s v="CUST081"/>
    <x v="0"/>
    <n v="40"/>
    <x v="2"/>
    <n v="1"/>
    <n v="50"/>
    <n v="50"/>
    <x v="2"/>
    <x v="2"/>
  </r>
  <r>
    <n v="82"/>
    <x v="24"/>
    <s v="CUST082"/>
    <x v="1"/>
    <n v="32"/>
    <x v="0"/>
    <n v="4"/>
    <n v="50"/>
    <n v="200"/>
    <x v="0"/>
    <x v="1"/>
  </r>
  <r>
    <n v="83"/>
    <x v="72"/>
    <s v="CUST083"/>
    <x v="0"/>
    <n v="54"/>
    <x v="2"/>
    <n v="2"/>
    <n v="50"/>
    <n v="100"/>
    <x v="1"/>
    <x v="1"/>
  </r>
  <r>
    <n v="84"/>
    <x v="73"/>
    <s v="CUST084"/>
    <x v="1"/>
    <n v="38"/>
    <x v="2"/>
    <n v="3"/>
    <n v="30"/>
    <n v="90"/>
    <x v="2"/>
    <x v="0"/>
  </r>
  <r>
    <n v="85"/>
    <x v="74"/>
    <s v="CUST085"/>
    <x v="0"/>
    <n v="31"/>
    <x v="1"/>
    <n v="3"/>
    <n v="50"/>
    <n v="150"/>
    <x v="0"/>
    <x v="1"/>
  </r>
  <r>
    <n v="86"/>
    <x v="75"/>
    <s v="CUST086"/>
    <x v="0"/>
    <n v="19"/>
    <x v="0"/>
    <n v="3"/>
    <n v="30"/>
    <n v="90"/>
    <x v="4"/>
    <x v="0"/>
  </r>
  <r>
    <n v="87"/>
    <x v="64"/>
    <s v="CUST087"/>
    <x v="1"/>
    <n v="28"/>
    <x v="0"/>
    <n v="2"/>
    <n v="50"/>
    <n v="100"/>
    <x v="0"/>
    <x v="0"/>
  </r>
  <r>
    <n v="88"/>
    <x v="76"/>
    <s v="CUST088"/>
    <x v="0"/>
    <n v="56"/>
    <x v="1"/>
    <n v="1"/>
    <n v="500"/>
    <n v="500"/>
    <x v="3"/>
    <x v="2"/>
  </r>
  <r>
    <n v="89"/>
    <x v="77"/>
    <s v="CUST089"/>
    <x v="1"/>
    <n v="55"/>
    <x v="2"/>
    <n v="4"/>
    <n v="500"/>
    <n v="2000"/>
    <x v="3"/>
    <x v="0"/>
  </r>
  <r>
    <n v="90"/>
    <x v="4"/>
    <s v="CUST090"/>
    <x v="1"/>
    <n v="51"/>
    <x v="2"/>
    <n v="1"/>
    <n v="30"/>
    <n v="30"/>
    <x v="1"/>
    <x v="2"/>
  </r>
  <r>
    <n v="91"/>
    <x v="66"/>
    <s v="CUST091"/>
    <x v="1"/>
    <n v="55"/>
    <x v="2"/>
    <n v="1"/>
    <n v="500"/>
    <n v="500"/>
    <x v="3"/>
    <x v="2"/>
  </r>
  <r>
    <n v="92"/>
    <x v="78"/>
    <s v="CUST092"/>
    <x v="1"/>
    <n v="51"/>
    <x v="2"/>
    <n v="4"/>
    <n v="30"/>
    <n v="120"/>
    <x v="1"/>
    <x v="3"/>
  </r>
  <r>
    <n v="93"/>
    <x v="37"/>
    <s v="CUST093"/>
    <x v="1"/>
    <n v="35"/>
    <x v="0"/>
    <n v="4"/>
    <n v="500"/>
    <n v="2000"/>
    <x v="2"/>
    <x v="3"/>
  </r>
  <r>
    <n v="94"/>
    <x v="79"/>
    <s v="CUST094"/>
    <x v="1"/>
    <n v="47"/>
    <x v="0"/>
    <n v="2"/>
    <n v="500"/>
    <n v="1000"/>
    <x v="1"/>
    <x v="2"/>
  </r>
  <r>
    <n v="95"/>
    <x v="0"/>
    <s v="CUST095"/>
    <x v="1"/>
    <n v="32"/>
    <x v="1"/>
    <n v="2"/>
    <n v="30"/>
    <n v="60"/>
    <x v="0"/>
    <x v="0"/>
  </r>
  <r>
    <n v="96"/>
    <x v="80"/>
    <s v="CUST096"/>
    <x v="1"/>
    <n v="44"/>
    <x v="1"/>
    <n v="2"/>
    <n v="300"/>
    <n v="600"/>
    <x v="2"/>
    <x v="1"/>
  </r>
  <r>
    <n v="97"/>
    <x v="81"/>
    <s v="CUST097"/>
    <x v="1"/>
    <n v="51"/>
    <x v="0"/>
    <n v="2"/>
    <n v="500"/>
    <n v="1000"/>
    <x v="1"/>
    <x v="0"/>
  </r>
  <r>
    <n v="98"/>
    <x v="26"/>
    <s v="CUST098"/>
    <x v="1"/>
    <n v="55"/>
    <x v="0"/>
    <n v="2"/>
    <n v="50"/>
    <n v="100"/>
    <x v="3"/>
    <x v="2"/>
  </r>
  <r>
    <n v="99"/>
    <x v="82"/>
    <s v="CUST099"/>
    <x v="1"/>
    <n v="50"/>
    <x v="2"/>
    <n v="4"/>
    <n v="300"/>
    <n v="1200"/>
    <x v="1"/>
    <x v="1"/>
  </r>
  <r>
    <n v="100"/>
    <x v="83"/>
    <s v="CUST100"/>
    <x v="0"/>
    <n v="41"/>
    <x v="2"/>
    <n v="1"/>
    <n v="30"/>
    <n v="30"/>
    <x v="2"/>
    <x v="3"/>
  </r>
  <r>
    <n v="101"/>
    <x v="84"/>
    <s v="CUST101"/>
    <x v="0"/>
    <n v="32"/>
    <x v="1"/>
    <n v="2"/>
    <n v="300"/>
    <n v="600"/>
    <x v="0"/>
    <x v="1"/>
  </r>
  <r>
    <n v="102"/>
    <x v="85"/>
    <s v="CUST102"/>
    <x v="1"/>
    <n v="47"/>
    <x v="0"/>
    <n v="2"/>
    <n v="25"/>
    <n v="50"/>
    <x v="1"/>
    <x v="2"/>
  </r>
  <r>
    <n v="103"/>
    <x v="13"/>
    <s v="CUST103"/>
    <x v="1"/>
    <n v="59"/>
    <x v="1"/>
    <n v="1"/>
    <n v="25"/>
    <n v="25"/>
    <x v="3"/>
    <x v="1"/>
  </r>
  <r>
    <n v="104"/>
    <x v="86"/>
    <s v="CUST104"/>
    <x v="1"/>
    <n v="34"/>
    <x v="0"/>
    <n v="2"/>
    <n v="500"/>
    <n v="1000"/>
    <x v="0"/>
    <x v="3"/>
  </r>
  <r>
    <n v="105"/>
    <x v="87"/>
    <s v="CUST105"/>
    <x v="1"/>
    <n v="22"/>
    <x v="2"/>
    <n v="1"/>
    <n v="500"/>
    <n v="500"/>
    <x v="4"/>
    <x v="3"/>
  </r>
  <r>
    <n v="106"/>
    <x v="88"/>
    <s v="CUST106"/>
    <x v="1"/>
    <n v="46"/>
    <x v="1"/>
    <n v="1"/>
    <n v="50"/>
    <n v="50"/>
    <x v="1"/>
    <x v="2"/>
  </r>
  <r>
    <n v="107"/>
    <x v="89"/>
    <s v="CUST107"/>
    <x v="1"/>
    <n v="21"/>
    <x v="1"/>
    <n v="4"/>
    <n v="300"/>
    <n v="1200"/>
    <x v="4"/>
    <x v="1"/>
  </r>
  <r>
    <n v="108"/>
    <x v="90"/>
    <s v="CUST108"/>
    <x v="1"/>
    <n v="27"/>
    <x v="0"/>
    <n v="3"/>
    <n v="25"/>
    <n v="75"/>
    <x v="0"/>
    <x v="2"/>
  </r>
  <r>
    <n v="109"/>
    <x v="91"/>
    <s v="CUST109"/>
    <x v="1"/>
    <n v="34"/>
    <x v="2"/>
    <n v="4"/>
    <n v="500"/>
    <n v="2000"/>
    <x v="0"/>
    <x v="0"/>
  </r>
  <r>
    <n v="110"/>
    <x v="86"/>
    <s v="CUST110"/>
    <x v="0"/>
    <n v="27"/>
    <x v="1"/>
    <n v="3"/>
    <n v="300"/>
    <n v="900"/>
    <x v="0"/>
    <x v="3"/>
  </r>
  <r>
    <n v="111"/>
    <x v="90"/>
    <s v="CUST111"/>
    <x v="1"/>
    <n v="34"/>
    <x v="2"/>
    <n v="3"/>
    <n v="500"/>
    <n v="1500"/>
    <x v="0"/>
    <x v="2"/>
  </r>
  <r>
    <n v="112"/>
    <x v="92"/>
    <s v="CUST112"/>
    <x v="0"/>
    <n v="37"/>
    <x v="1"/>
    <n v="3"/>
    <n v="500"/>
    <n v="1500"/>
    <x v="2"/>
    <x v="1"/>
  </r>
  <r>
    <n v="113"/>
    <x v="93"/>
    <s v="CUST113"/>
    <x v="1"/>
    <n v="41"/>
    <x v="2"/>
    <n v="2"/>
    <n v="25"/>
    <n v="50"/>
    <x v="2"/>
    <x v="0"/>
  </r>
  <r>
    <n v="114"/>
    <x v="94"/>
    <s v="CUST114"/>
    <x v="1"/>
    <n v="22"/>
    <x v="0"/>
    <n v="4"/>
    <n v="25"/>
    <n v="100"/>
    <x v="4"/>
    <x v="3"/>
  </r>
  <r>
    <n v="115"/>
    <x v="95"/>
    <s v="CUST115"/>
    <x v="0"/>
    <n v="51"/>
    <x v="1"/>
    <n v="3"/>
    <n v="500"/>
    <n v="1500"/>
    <x v="1"/>
    <x v="0"/>
  </r>
  <r>
    <n v="116"/>
    <x v="96"/>
    <s v="CUST116"/>
    <x v="1"/>
    <n v="23"/>
    <x v="1"/>
    <n v="1"/>
    <n v="30"/>
    <n v="30"/>
    <x v="4"/>
    <x v="3"/>
  </r>
  <r>
    <n v="117"/>
    <x v="97"/>
    <s v="CUST117"/>
    <x v="0"/>
    <n v="19"/>
    <x v="2"/>
    <n v="2"/>
    <n v="500"/>
    <n v="1000"/>
    <x v="4"/>
    <x v="2"/>
  </r>
  <r>
    <n v="118"/>
    <x v="42"/>
    <s v="CUST118"/>
    <x v="1"/>
    <n v="30"/>
    <x v="2"/>
    <n v="4"/>
    <n v="500"/>
    <n v="2000"/>
    <x v="0"/>
    <x v="2"/>
  </r>
  <r>
    <n v="119"/>
    <x v="6"/>
    <s v="CUST119"/>
    <x v="1"/>
    <n v="60"/>
    <x v="1"/>
    <n v="3"/>
    <n v="50"/>
    <n v="150"/>
    <x v="3"/>
    <x v="2"/>
  </r>
  <r>
    <n v="120"/>
    <x v="98"/>
    <s v="CUST120"/>
    <x v="0"/>
    <n v="60"/>
    <x v="0"/>
    <n v="1"/>
    <n v="50"/>
    <n v="50"/>
    <x v="3"/>
    <x v="2"/>
  </r>
  <r>
    <n v="121"/>
    <x v="21"/>
    <s v="CUST121"/>
    <x v="1"/>
    <n v="28"/>
    <x v="2"/>
    <n v="4"/>
    <n v="50"/>
    <n v="200"/>
    <x v="0"/>
    <x v="0"/>
  </r>
  <r>
    <n v="122"/>
    <x v="99"/>
    <s v="CUST122"/>
    <x v="0"/>
    <n v="64"/>
    <x v="2"/>
    <n v="4"/>
    <n v="30"/>
    <n v="120"/>
    <x v="3"/>
    <x v="0"/>
  </r>
  <r>
    <n v="123"/>
    <x v="100"/>
    <s v="CUST123"/>
    <x v="1"/>
    <n v="40"/>
    <x v="2"/>
    <n v="2"/>
    <n v="30"/>
    <n v="60"/>
    <x v="2"/>
    <x v="2"/>
  </r>
  <r>
    <n v="124"/>
    <x v="101"/>
    <s v="CUST124"/>
    <x v="0"/>
    <n v="33"/>
    <x v="1"/>
    <n v="4"/>
    <n v="500"/>
    <n v="2000"/>
    <x v="0"/>
    <x v="0"/>
  </r>
  <r>
    <n v="125"/>
    <x v="102"/>
    <s v="CUST125"/>
    <x v="0"/>
    <n v="48"/>
    <x v="1"/>
    <n v="2"/>
    <n v="50"/>
    <n v="100"/>
    <x v="1"/>
    <x v="3"/>
  </r>
  <r>
    <n v="126"/>
    <x v="103"/>
    <s v="CUST126"/>
    <x v="1"/>
    <n v="28"/>
    <x v="1"/>
    <n v="3"/>
    <n v="30"/>
    <n v="90"/>
    <x v="0"/>
    <x v="0"/>
  </r>
  <r>
    <n v="127"/>
    <x v="104"/>
    <s v="CUST127"/>
    <x v="1"/>
    <n v="33"/>
    <x v="1"/>
    <n v="2"/>
    <n v="25"/>
    <n v="50"/>
    <x v="0"/>
    <x v="3"/>
  </r>
  <r>
    <n v="128"/>
    <x v="53"/>
    <s v="CUST128"/>
    <x v="0"/>
    <n v="25"/>
    <x v="0"/>
    <n v="1"/>
    <n v="500"/>
    <n v="500"/>
    <x v="0"/>
    <x v="3"/>
  </r>
  <r>
    <n v="129"/>
    <x v="26"/>
    <s v="CUST129"/>
    <x v="1"/>
    <n v="21"/>
    <x v="0"/>
    <n v="2"/>
    <n v="300"/>
    <n v="600"/>
    <x v="4"/>
    <x v="2"/>
  </r>
  <r>
    <n v="130"/>
    <x v="105"/>
    <s v="CUST130"/>
    <x v="1"/>
    <n v="57"/>
    <x v="1"/>
    <n v="1"/>
    <n v="500"/>
    <n v="500"/>
    <x v="3"/>
    <x v="2"/>
  </r>
  <r>
    <n v="131"/>
    <x v="106"/>
    <s v="CUST131"/>
    <x v="1"/>
    <n v="21"/>
    <x v="0"/>
    <n v="2"/>
    <n v="300"/>
    <n v="600"/>
    <x v="4"/>
    <x v="0"/>
  </r>
  <r>
    <n v="132"/>
    <x v="107"/>
    <s v="CUST132"/>
    <x v="0"/>
    <n v="42"/>
    <x v="2"/>
    <n v="4"/>
    <n v="50"/>
    <n v="200"/>
    <x v="2"/>
    <x v="0"/>
  </r>
  <r>
    <n v="133"/>
    <x v="108"/>
    <s v="CUST133"/>
    <x v="0"/>
    <n v="20"/>
    <x v="2"/>
    <n v="3"/>
    <n v="300"/>
    <n v="900"/>
    <x v="4"/>
    <x v="1"/>
  </r>
  <r>
    <n v="134"/>
    <x v="109"/>
    <s v="CUST134"/>
    <x v="0"/>
    <n v="49"/>
    <x v="2"/>
    <n v="1"/>
    <n v="50"/>
    <n v="50"/>
    <x v="1"/>
    <x v="1"/>
  </r>
  <r>
    <n v="135"/>
    <x v="110"/>
    <s v="CUST135"/>
    <x v="0"/>
    <n v="20"/>
    <x v="1"/>
    <n v="2"/>
    <n v="25"/>
    <n v="50"/>
    <x v="4"/>
    <x v="1"/>
  </r>
  <r>
    <n v="136"/>
    <x v="111"/>
    <s v="CUST136"/>
    <x v="0"/>
    <n v="44"/>
    <x v="2"/>
    <n v="2"/>
    <n v="300"/>
    <n v="600"/>
    <x v="2"/>
    <x v="2"/>
  </r>
  <r>
    <n v="137"/>
    <x v="51"/>
    <s v="CUST137"/>
    <x v="0"/>
    <n v="46"/>
    <x v="0"/>
    <n v="2"/>
    <n v="500"/>
    <n v="1000"/>
    <x v="1"/>
    <x v="0"/>
  </r>
  <r>
    <n v="138"/>
    <x v="31"/>
    <s v="CUST138"/>
    <x v="0"/>
    <n v="49"/>
    <x v="1"/>
    <n v="4"/>
    <n v="50"/>
    <n v="200"/>
    <x v="1"/>
    <x v="2"/>
  </r>
  <r>
    <n v="139"/>
    <x v="112"/>
    <s v="CUST139"/>
    <x v="0"/>
    <n v="36"/>
    <x v="0"/>
    <n v="4"/>
    <n v="500"/>
    <n v="2000"/>
    <x v="2"/>
    <x v="1"/>
  </r>
  <r>
    <n v="140"/>
    <x v="12"/>
    <s v="CUST140"/>
    <x v="0"/>
    <n v="38"/>
    <x v="2"/>
    <n v="1"/>
    <n v="30"/>
    <n v="30"/>
    <x v="2"/>
    <x v="3"/>
  </r>
  <r>
    <n v="141"/>
    <x v="113"/>
    <s v="CUST141"/>
    <x v="1"/>
    <n v="22"/>
    <x v="2"/>
    <n v="1"/>
    <n v="50"/>
    <n v="50"/>
    <x v="4"/>
    <x v="0"/>
  </r>
  <r>
    <n v="142"/>
    <x v="114"/>
    <s v="CUST142"/>
    <x v="0"/>
    <n v="35"/>
    <x v="2"/>
    <n v="4"/>
    <n v="300"/>
    <n v="1200"/>
    <x v="2"/>
    <x v="1"/>
  </r>
  <r>
    <n v="143"/>
    <x v="115"/>
    <s v="CUST143"/>
    <x v="1"/>
    <n v="45"/>
    <x v="1"/>
    <n v="1"/>
    <n v="50"/>
    <n v="50"/>
    <x v="1"/>
    <x v="3"/>
  </r>
  <r>
    <n v="144"/>
    <x v="116"/>
    <s v="CUST144"/>
    <x v="1"/>
    <n v="59"/>
    <x v="0"/>
    <n v="3"/>
    <n v="500"/>
    <n v="1500"/>
    <x v="3"/>
    <x v="3"/>
  </r>
  <r>
    <n v="145"/>
    <x v="113"/>
    <s v="CUST145"/>
    <x v="1"/>
    <n v="39"/>
    <x v="1"/>
    <n v="3"/>
    <n v="25"/>
    <n v="75"/>
    <x v="2"/>
    <x v="0"/>
  </r>
  <r>
    <n v="146"/>
    <x v="117"/>
    <s v="CUST146"/>
    <x v="0"/>
    <n v="38"/>
    <x v="1"/>
    <n v="4"/>
    <n v="50"/>
    <n v="200"/>
    <x v="2"/>
    <x v="3"/>
  </r>
  <r>
    <n v="147"/>
    <x v="118"/>
    <s v="CUST147"/>
    <x v="0"/>
    <n v="23"/>
    <x v="2"/>
    <n v="1"/>
    <n v="300"/>
    <n v="300"/>
    <x v="4"/>
    <x v="0"/>
  </r>
  <r>
    <n v="148"/>
    <x v="119"/>
    <s v="CUST148"/>
    <x v="0"/>
    <n v="18"/>
    <x v="1"/>
    <n v="2"/>
    <n v="30"/>
    <n v="60"/>
    <x v="4"/>
    <x v="2"/>
  </r>
  <r>
    <n v="149"/>
    <x v="120"/>
    <s v="CUST149"/>
    <x v="0"/>
    <n v="22"/>
    <x v="1"/>
    <n v="3"/>
    <n v="25"/>
    <n v="75"/>
    <x v="4"/>
    <x v="0"/>
  </r>
  <r>
    <n v="150"/>
    <x v="121"/>
    <s v="CUST150"/>
    <x v="1"/>
    <n v="58"/>
    <x v="2"/>
    <n v="4"/>
    <n v="30"/>
    <n v="120"/>
    <x v="3"/>
    <x v="1"/>
  </r>
  <r>
    <n v="151"/>
    <x v="112"/>
    <s v="CUST151"/>
    <x v="0"/>
    <n v="29"/>
    <x v="1"/>
    <n v="1"/>
    <n v="50"/>
    <n v="50"/>
    <x v="0"/>
    <x v="1"/>
  </r>
  <r>
    <n v="152"/>
    <x v="122"/>
    <s v="CUST152"/>
    <x v="0"/>
    <n v="43"/>
    <x v="2"/>
    <n v="4"/>
    <n v="500"/>
    <n v="2000"/>
    <x v="2"/>
    <x v="1"/>
  </r>
  <r>
    <n v="153"/>
    <x v="72"/>
    <s v="CUST153"/>
    <x v="0"/>
    <n v="63"/>
    <x v="2"/>
    <n v="2"/>
    <n v="500"/>
    <n v="1000"/>
    <x v="3"/>
    <x v="1"/>
  </r>
  <r>
    <n v="154"/>
    <x v="45"/>
    <s v="CUST154"/>
    <x v="0"/>
    <n v="51"/>
    <x v="2"/>
    <n v="3"/>
    <n v="300"/>
    <n v="900"/>
    <x v="1"/>
    <x v="0"/>
  </r>
  <r>
    <n v="155"/>
    <x v="71"/>
    <s v="CUST155"/>
    <x v="0"/>
    <n v="31"/>
    <x v="2"/>
    <n v="4"/>
    <n v="500"/>
    <n v="2000"/>
    <x v="0"/>
    <x v="2"/>
  </r>
  <r>
    <n v="156"/>
    <x v="123"/>
    <s v="CUST156"/>
    <x v="1"/>
    <n v="43"/>
    <x v="1"/>
    <n v="4"/>
    <n v="25"/>
    <n v="100"/>
    <x v="2"/>
    <x v="0"/>
  </r>
  <r>
    <n v="157"/>
    <x v="33"/>
    <s v="CUST157"/>
    <x v="0"/>
    <n v="62"/>
    <x v="2"/>
    <n v="4"/>
    <n v="500"/>
    <n v="2000"/>
    <x v="3"/>
    <x v="3"/>
  </r>
  <r>
    <n v="158"/>
    <x v="1"/>
    <s v="CUST158"/>
    <x v="1"/>
    <n v="44"/>
    <x v="2"/>
    <n v="2"/>
    <n v="300"/>
    <n v="600"/>
    <x v="2"/>
    <x v="1"/>
  </r>
  <r>
    <n v="159"/>
    <x v="50"/>
    <s v="CUST159"/>
    <x v="0"/>
    <n v="26"/>
    <x v="1"/>
    <n v="4"/>
    <n v="50"/>
    <n v="200"/>
    <x v="0"/>
    <x v="2"/>
  </r>
  <r>
    <n v="160"/>
    <x v="124"/>
    <s v="CUST160"/>
    <x v="1"/>
    <n v="43"/>
    <x v="1"/>
    <n v="2"/>
    <n v="50"/>
    <n v="100"/>
    <x v="2"/>
    <x v="3"/>
  </r>
  <r>
    <n v="161"/>
    <x v="125"/>
    <s v="CUST161"/>
    <x v="0"/>
    <n v="64"/>
    <x v="0"/>
    <n v="2"/>
    <n v="500"/>
    <n v="1000"/>
    <x v="3"/>
    <x v="2"/>
  </r>
  <r>
    <n v="162"/>
    <x v="63"/>
    <s v="CUST162"/>
    <x v="0"/>
    <n v="39"/>
    <x v="1"/>
    <n v="2"/>
    <n v="30"/>
    <n v="60"/>
    <x v="2"/>
    <x v="3"/>
  </r>
  <r>
    <n v="163"/>
    <x v="126"/>
    <s v="CUST163"/>
    <x v="1"/>
    <n v="64"/>
    <x v="1"/>
    <n v="3"/>
    <n v="50"/>
    <n v="150"/>
    <x v="3"/>
    <x v="1"/>
  </r>
  <r>
    <n v="164"/>
    <x v="100"/>
    <s v="CUST164"/>
    <x v="1"/>
    <n v="47"/>
    <x v="0"/>
    <n v="3"/>
    <n v="500"/>
    <n v="1500"/>
    <x v="1"/>
    <x v="2"/>
  </r>
  <r>
    <n v="165"/>
    <x v="127"/>
    <s v="CUST165"/>
    <x v="1"/>
    <n v="60"/>
    <x v="1"/>
    <n v="4"/>
    <n v="300"/>
    <n v="1200"/>
    <x v="3"/>
    <x v="0"/>
  </r>
  <r>
    <n v="166"/>
    <x v="128"/>
    <s v="CUST166"/>
    <x v="0"/>
    <n v="34"/>
    <x v="1"/>
    <n v="4"/>
    <n v="500"/>
    <n v="2000"/>
    <x v="0"/>
    <x v="2"/>
  </r>
  <r>
    <n v="167"/>
    <x v="129"/>
    <s v="CUST167"/>
    <x v="1"/>
    <n v="43"/>
    <x v="1"/>
    <n v="3"/>
    <n v="50"/>
    <n v="150"/>
    <x v="2"/>
    <x v="0"/>
  </r>
  <r>
    <n v="168"/>
    <x v="130"/>
    <s v="CUST168"/>
    <x v="0"/>
    <n v="53"/>
    <x v="1"/>
    <n v="1"/>
    <n v="300"/>
    <n v="300"/>
    <x v="1"/>
    <x v="1"/>
  </r>
  <r>
    <n v="169"/>
    <x v="131"/>
    <s v="CUST169"/>
    <x v="0"/>
    <n v="18"/>
    <x v="0"/>
    <n v="3"/>
    <n v="500"/>
    <n v="1500"/>
    <x v="4"/>
    <x v="0"/>
  </r>
  <r>
    <n v="170"/>
    <x v="132"/>
    <s v="CUST170"/>
    <x v="1"/>
    <n v="25"/>
    <x v="1"/>
    <n v="2"/>
    <n v="25"/>
    <n v="50"/>
    <x v="0"/>
    <x v="3"/>
  </r>
  <r>
    <n v="171"/>
    <x v="0"/>
    <s v="CUST171"/>
    <x v="1"/>
    <n v="52"/>
    <x v="1"/>
    <n v="3"/>
    <n v="300"/>
    <n v="900"/>
    <x v="1"/>
    <x v="0"/>
  </r>
  <r>
    <n v="172"/>
    <x v="129"/>
    <s v="CUST172"/>
    <x v="0"/>
    <n v="32"/>
    <x v="0"/>
    <n v="2"/>
    <n v="25"/>
    <n v="50"/>
    <x v="0"/>
    <x v="0"/>
  </r>
  <r>
    <n v="173"/>
    <x v="75"/>
    <s v="CUST173"/>
    <x v="0"/>
    <n v="64"/>
    <x v="2"/>
    <n v="4"/>
    <n v="30"/>
    <n v="120"/>
    <x v="3"/>
    <x v="0"/>
  </r>
  <r>
    <n v="174"/>
    <x v="22"/>
    <s v="CUST174"/>
    <x v="1"/>
    <n v="39"/>
    <x v="0"/>
    <n v="1"/>
    <n v="300"/>
    <n v="300"/>
    <x v="2"/>
    <x v="2"/>
  </r>
  <r>
    <n v="175"/>
    <x v="111"/>
    <s v="CUST175"/>
    <x v="1"/>
    <n v="31"/>
    <x v="2"/>
    <n v="4"/>
    <n v="25"/>
    <n v="100"/>
    <x v="0"/>
    <x v="2"/>
  </r>
  <r>
    <n v="176"/>
    <x v="133"/>
    <s v="CUST176"/>
    <x v="1"/>
    <n v="43"/>
    <x v="0"/>
    <n v="2"/>
    <n v="50"/>
    <n v="100"/>
    <x v="2"/>
    <x v="3"/>
  </r>
  <r>
    <n v="177"/>
    <x v="134"/>
    <s v="CUST177"/>
    <x v="0"/>
    <n v="45"/>
    <x v="0"/>
    <n v="2"/>
    <n v="50"/>
    <n v="100"/>
    <x v="1"/>
    <x v="2"/>
  </r>
  <r>
    <n v="178"/>
    <x v="135"/>
    <s v="CUST178"/>
    <x v="0"/>
    <n v="40"/>
    <x v="1"/>
    <n v="2"/>
    <n v="30"/>
    <n v="60"/>
    <x v="2"/>
    <x v="0"/>
  </r>
  <r>
    <n v="179"/>
    <x v="136"/>
    <s v="CUST179"/>
    <x v="0"/>
    <n v="31"/>
    <x v="2"/>
    <n v="1"/>
    <n v="300"/>
    <n v="300"/>
    <x v="0"/>
    <x v="0"/>
  </r>
  <r>
    <n v="180"/>
    <x v="137"/>
    <s v="CUST180"/>
    <x v="0"/>
    <n v="41"/>
    <x v="1"/>
    <n v="3"/>
    <n v="300"/>
    <n v="900"/>
    <x v="2"/>
    <x v="1"/>
  </r>
  <r>
    <n v="181"/>
    <x v="138"/>
    <s v="CUST181"/>
    <x v="0"/>
    <n v="19"/>
    <x v="2"/>
    <n v="4"/>
    <n v="300"/>
    <n v="1200"/>
    <x v="4"/>
    <x v="0"/>
  </r>
  <r>
    <n v="182"/>
    <x v="139"/>
    <s v="CUST182"/>
    <x v="0"/>
    <n v="62"/>
    <x v="0"/>
    <n v="4"/>
    <n v="30"/>
    <n v="120"/>
    <x v="3"/>
    <x v="3"/>
  </r>
  <r>
    <n v="183"/>
    <x v="140"/>
    <s v="CUST183"/>
    <x v="1"/>
    <n v="43"/>
    <x v="0"/>
    <n v="3"/>
    <n v="300"/>
    <n v="900"/>
    <x v="2"/>
    <x v="0"/>
  </r>
  <r>
    <n v="184"/>
    <x v="141"/>
    <s v="CUST184"/>
    <x v="0"/>
    <n v="31"/>
    <x v="2"/>
    <n v="4"/>
    <n v="50"/>
    <n v="200"/>
    <x v="0"/>
    <x v="1"/>
  </r>
  <r>
    <n v="185"/>
    <x v="1"/>
    <s v="CUST185"/>
    <x v="0"/>
    <n v="24"/>
    <x v="1"/>
    <n v="1"/>
    <n v="25"/>
    <n v="25"/>
    <x v="4"/>
    <x v="1"/>
  </r>
  <r>
    <n v="186"/>
    <x v="53"/>
    <s v="CUST186"/>
    <x v="0"/>
    <n v="20"/>
    <x v="1"/>
    <n v="4"/>
    <n v="50"/>
    <n v="200"/>
    <x v="4"/>
    <x v="3"/>
  </r>
  <r>
    <n v="187"/>
    <x v="142"/>
    <s v="CUST187"/>
    <x v="1"/>
    <n v="64"/>
    <x v="1"/>
    <n v="2"/>
    <n v="50"/>
    <n v="100"/>
    <x v="3"/>
    <x v="3"/>
  </r>
  <r>
    <n v="188"/>
    <x v="143"/>
    <s v="CUST188"/>
    <x v="0"/>
    <n v="40"/>
    <x v="1"/>
    <n v="3"/>
    <n v="25"/>
    <n v="75"/>
    <x v="2"/>
    <x v="2"/>
  </r>
  <r>
    <n v="189"/>
    <x v="144"/>
    <s v="CUST189"/>
    <x v="0"/>
    <n v="63"/>
    <x v="0"/>
    <n v="1"/>
    <n v="50"/>
    <n v="50"/>
    <x v="3"/>
    <x v="1"/>
  </r>
  <r>
    <n v="190"/>
    <x v="145"/>
    <s v="CUST190"/>
    <x v="1"/>
    <n v="60"/>
    <x v="0"/>
    <n v="3"/>
    <n v="30"/>
    <n v="90"/>
    <x v="3"/>
    <x v="2"/>
  </r>
  <r>
    <n v="191"/>
    <x v="91"/>
    <s v="CUST191"/>
    <x v="0"/>
    <n v="64"/>
    <x v="0"/>
    <n v="1"/>
    <n v="25"/>
    <n v="25"/>
    <x v="3"/>
    <x v="0"/>
  </r>
  <r>
    <n v="192"/>
    <x v="48"/>
    <s v="CUST192"/>
    <x v="0"/>
    <n v="62"/>
    <x v="0"/>
    <n v="2"/>
    <n v="50"/>
    <n v="100"/>
    <x v="3"/>
    <x v="1"/>
  </r>
  <r>
    <n v="193"/>
    <x v="146"/>
    <s v="CUST193"/>
    <x v="0"/>
    <n v="35"/>
    <x v="0"/>
    <n v="3"/>
    <n v="500"/>
    <n v="1500"/>
    <x v="2"/>
    <x v="1"/>
  </r>
  <r>
    <n v="194"/>
    <x v="147"/>
    <s v="CUST194"/>
    <x v="0"/>
    <n v="55"/>
    <x v="1"/>
    <n v="4"/>
    <n v="50"/>
    <n v="200"/>
    <x v="3"/>
    <x v="0"/>
  </r>
  <r>
    <n v="195"/>
    <x v="57"/>
    <s v="CUST195"/>
    <x v="0"/>
    <n v="52"/>
    <x v="1"/>
    <n v="1"/>
    <n v="30"/>
    <n v="30"/>
    <x v="1"/>
    <x v="1"/>
  </r>
  <r>
    <n v="196"/>
    <x v="148"/>
    <s v="CUST196"/>
    <x v="1"/>
    <n v="32"/>
    <x v="1"/>
    <n v="3"/>
    <n v="300"/>
    <n v="900"/>
    <x v="0"/>
    <x v="0"/>
  </r>
  <r>
    <n v="197"/>
    <x v="149"/>
    <s v="CUST197"/>
    <x v="1"/>
    <n v="42"/>
    <x v="1"/>
    <n v="4"/>
    <n v="50"/>
    <n v="200"/>
    <x v="2"/>
    <x v="2"/>
  </r>
  <r>
    <n v="198"/>
    <x v="150"/>
    <s v="CUST198"/>
    <x v="1"/>
    <n v="54"/>
    <x v="0"/>
    <n v="3"/>
    <n v="300"/>
    <n v="900"/>
    <x v="1"/>
    <x v="2"/>
  </r>
  <r>
    <n v="199"/>
    <x v="151"/>
    <s v="CUST199"/>
    <x v="0"/>
    <n v="45"/>
    <x v="0"/>
    <n v="3"/>
    <n v="500"/>
    <n v="1500"/>
    <x v="1"/>
    <x v="1"/>
  </r>
  <r>
    <n v="200"/>
    <x v="152"/>
    <s v="CUST200"/>
    <x v="0"/>
    <n v="27"/>
    <x v="0"/>
    <n v="3"/>
    <n v="50"/>
    <n v="150"/>
    <x v="0"/>
    <x v="0"/>
  </r>
  <r>
    <n v="201"/>
    <x v="153"/>
    <s v="CUST201"/>
    <x v="0"/>
    <n v="56"/>
    <x v="2"/>
    <n v="1"/>
    <n v="25"/>
    <n v="25"/>
    <x v="3"/>
    <x v="0"/>
  </r>
  <r>
    <n v="202"/>
    <x v="154"/>
    <s v="CUST202"/>
    <x v="1"/>
    <n v="34"/>
    <x v="1"/>
    <n v="4"/>
    <n v="300"/>
    <n v="1200"/>
    <x v="0"/>
    <x v="2"/>
  </r>
  <r>
    <n v="203"/>
    <x v="42"/>
    <s v="CUST203"/>
    <x v="0"/>
    <n v="56"/>
    <x v="1"/>
    <n v="2"/>
    <n v="500"/>
    <n v="1000"/>
    <x v="3"/>
    <x v="2"/>
  </r>
  <r>
    <n v="204"/>
    <x v="118"/>
    <s v="CUST204"/>
    <x v="0"/>
    <n v="39"/>
    <x v="0"/>
    <n v="1"/>
    <n v="25"/>
    <n v="25"/>
    <x v="2"/>
    <x v="0"/>
  </r>
  <r>
    <n v="205"/>
    <x v="155"/>
    <s v="CUST205"/>
    <x v="1"/>
    <n v="43"/>
    <x v="1"/>
    <n v="1"/>
    <n v="25"/>
    <n v="25"/>
    <x v="2"/>
    <x v="0"/>
  </r>
  <r>
    <n v="206"/>
    <x v="12"/>
    <s v="CUST206"/>
    <x v="0"/>
    <n v="61"/>
    <x v="1"/>
    <n v="1"/>
    <n v="25"/>
    <n v="25"/>
    <x v="3"/>
    <x v="3"/>
  </r>
  <r>
    <n v="207"/>
    <x v="90"/>
    <s v="CUST207"/>
    <x v="1"/>
    <n v="42"/>
    <x v="0"/>
    <n v="2"/>
    <n v="25"/>
    <n v="50"/>
    <x v="2"/>
    <x v="2"/>
  </r>
  <r>
    <n v="208"/>
    <x v="135"/>
    <s v="CUST208"/>
    <x v="1"/>
    <n v="34"/>
    <x v="2"/>
    <n v="4"/>
    <n v="50"/>
    <n v="200"/>
    <x v="0"/>
    <x v="0"/>
  </r>
  <r>
    <n v="209"/>
    <x v="156"/>
    <s v="CUST209"/>
    <x v="1"/>
    <n v="30"/>
    <x v="2"/>
    <n v="4"/>
    <n v="50"/>
    <n v="200"/>
    <x v="0"/>
    <x v="1"/>
  </r>
  <r>
    <n v="210"/>
    <x v="157"/>
    <s v="CUST210"/>
    <x v="0"/>
    <n v="37"/>
    <x v="2"/>
    <n v="4"/>
    <n v="50"/>
    <n v="200"/>
    <x v="2"/>
    <x v="2"/>
  </r>
  <r>
    <n v="211"/>
    <x v="158"/>
    <s v="CUST211"/>
    <x v="0"/>
    <n v="42"/>
    <x v="0"/>
    <n v="3"/>
    <n v="500"/>
    <n v="1500"/>
    <x v="2"/>
    <x v="1"/>
  </r>
  <r>
    <n v="212"/>
    <x v="159"/>
    <s v="CUST212"/>
    <x v="0"/>
    <n v="21"/>
    <x v="1"/>
    <n v="3"/>
    <n v="500"/>
    <n v="1500"/>
    <x v="4"/>
    <x v="3"/>
  </r>
  <r>
    <n v="213"/>
    <x v="104"/>
    <s v="CUST213"/>
    <x v="0"/>
    <n v="27"/>
    <x v="0"/>
    <n v="3"/>
    <n v="500"/>
    <n v="1500"/>
    <x v="0"/>
    <x v="3"/>
  </r>
  <r>
    <n v="214"/>
    <x v="70"/>
    <s v="CUST214"/>
    <x v="0"/>
    <n v="20"/>
    <x v="0"/>
    <n v="2"/>
    <n v="30"/>
    <n v="60"/>
    <x v="4"/>
    <x v="1"/>
  </r>
  <r>
    <n v="215"/>
    <x v="23"/>
    <s v="CUST215"/>
    <x v="0"/>
    <n v="58"/>
    <x v="1"/>
    <n v="3"/>
    <n v="500"/>
    <n v="1500"/>
    <x v="3"/>
    <x v="0"/>
  </r>
  <r>
    <n v="216"/>
    <x v="133"/>
    <s v="CUST216"/>
    <x v="0"/>
    <n v="62"/>
    <x v="2"/>
    <n v="2"/>
    <n v="50"/>
    <n v="100"/>
    <x v="3"/>
    <x v="3"/>
  </r>
  <r>
    <n v="217"/>
    <x v="160"/>
    <s v="CUST217"/>
    <x v="1"/>
    <n v="35"/>
    <x v="2"/>
    <n v="4"/>
    <n v="50"/>
    <n v="200"/>
    <x v="2"/>
    <x v="3"/>
  </r>
  <r>
    <n v="218"/>
    <x v="161"/>
    <s v="CUST218"/>
    <x v="0"/>
    <n v="64"/>
    <x v="0"/>
    <n v="3"/>
    <n v="30"/>
    <n v="90"/>
    <x v="3"/>
    <x v="0"/>
  </r>
  <r>
    <n v="219"/>
    <x v="162"/>
    <s v="CUST219"/>
    <x v="1"/>
    <n v="53"/>
    <x v="2"/>
    <n v="3"/>
    <n v="30"/>
    <n v="90"/>
    <x v="1"/>
    <x v="3"/>
  </r>
  <r>
    <n v="220"/>
    <x v="163"/>
    <s v="CUST220"/>
    <x v="0"/>
    <n v="64"/>
    <x v="0"/>
    <n v="1"/>
    <n v="500"/>
    <n v="500"/>
    <x v="3"/>
    <x v="2"/>
  </r>
  <r>
    <n v="221"/>
    <x v="98"/>
    <s v="CUST221"/>
    <x v="0"/>
    <n v="39"/>
    <x v="0"/>
    <n v="2"/>
    <n v="300"/>
    <n v="600"/>
    <x v="2"/>
    <x v="2"/>
  </r>
  <r>
    <n v="222"/>
    <x v="164"/>
    <s v="CUST222"/>
    <x v="0"/>
    <n v="51"/>
    <x v="1"/>
    <n v="4"/>
    <n v="30"/>
    <n v="120"/>
    <x v="1"/>
    <x v="2"/>
  </r>
  <r>
    <n v="223"/>
    <x v="114"/>
    <s v="CUST223"/>
    <x v="1"/>
    <n v="64"/>
    <x v="1"/>
    <n v="1"/>
    <n v="25"/>
    <n v="25"/>
    <x v="3"/>
    <x v="1"/>
  </r>
  <r>
    <n v="224"/>
    <x v="165"/>
    <s v="CUST224"/>
    <x v="1"/>
    <n v="25"/>
    <x v="1"/>
    <n v="1"/>
    <n v="50"/>
    <n v="50"/>
    <x v="0"/>
    <x v="3"/>
  </r>
  <r>
    <n v="225"/>
    <x v="166"/>
    <s v="CUST225"/>
    <x v="1"/>
    <n v="57"/>
    <x v="0"/>
    <n v="4"/>
    <n v="25"/>
    <n v="100"/>
    <x v="3"/>
    <x v="1"/>
  </r>
  <r>
    <n v="226"/>
    <x v="28"/>
    <s v="CUST226"/>
    <x v="1"/>
    <n v="61"/>
    <x v="1"/>
    <n v="1"/>
    <n v="50"/>
    <n v="50"/>
    <x v="3"/>
    <x v="0"/>
  </r>
  <r>
    <n v="227"/>
    <x v="120"/>
    <s v="CUST227"/>
    <x v="0"/>
    <n v="36"/>
    <x v="2"/>
    <n v="2"/>
    <n v="50"/>
    <n v="100"/>
    <x v="2"/>
    <x v="0"/>
  </r>
  <r>
    <n v="228"/>
    <x v="85"/>
    <s v="CUST228"/>
    <x v="1"/>
    <n v="59"/>
    <x v="2"/>
    <n v="2"/>
    <n v="30"/>
    <n v="60"/>
    <x v="3"/>
    <x v="2"/>
  </r>
  <r>
    <n v="229"/>
    <x v="28"/>
    <s v="CUST229"/>
    <x v="0"/>
    <n v="58"/>
    <x v="0"/>
    <n v="3"/>
    <n v="30"/>
    <n v="90"/>
    <x v="3"/>
    <x v="0"/>
  </r>
  <r>
    <n v="230"/>
    <x v="26"/>
    <s v="CUST230"/>
    <x v="0"/>
    <n v="54"/>
    <x v="0"/>
    <n v="1"/>
    <n v="25"/>
    <n v="25"/>
    <x v="1"/>
    <x v="2"/>
  </r>
  <r>
    <n v="231"/>
    <x v="30"/>
    <s v="CUST231"/>
    <x v="1"/>
    <n v="23"/>
    <x v="1"/>
    <n v="3"/>
    <n v="50"/>
    <n v="150"/>
    <x v="4"/>
    <x v="1"/>
  </r>
  <r>
    <n v="232"/>
    <x v="74"/>
    <s v="CUST232"/>
    <x v="1"/>
    <n v="43"/>
    <x v="0"/>
    <n v="1"/>
    <n v="25"/>
    <n v="25"/>
    <x v="2"/>
    <x v="1"/>
  </r>
  <r>
    <n v="233"/>
    <x v="167"/>
    <s v="CUST233"/>
    <x v="1"/>
    <n v="51"/>
    <x v="0"/>
    <n v="2"/>
    <n v="300"/>
    <n v="600"/>
    <x v="1"/>
    <x v="1"/>
  </r>
  <r>
    <n v="234"/>
    <x v="168"/>
    <s v="CUST234"/>
    <x v="1"/>
    <n v="62"/>
    <x v="2"/>
    <n v="2"/>
    <n v="25"/>
    <n v="50"/>
    <x v="3"/>
    <x v="0"/>
  </r>
  <r>
    <n v="235"/>
    <x v="169"/>
    <s v="CUST235"/>
    <x v="1"/>
    <n v="23"/>
    <x v="2"/>
    <n v="2"/>
    <n v="500"/>
    <n v="1000"/>
    <x v="4"/>
    <x v="1"/>
  </r>
  <r>
    <n v="236"/>
    <x v="85"/>
    <s v="CUST236"/>
    <x v="1"/>
    <n v="54"/>
    <x v="1"/>
    <n v="1"/>
    <n v="25"/>
    <n v="25"/>
    <x v="1"/>
    <x v="2"/>
  </r>
  <r>
    <n v="237"/>
    <x v="170"/>
    <s v="CUST237"/>
    <x v="1"/>
    <n v="50"/>
    <x v="0"/>
    <n v="2"/>
    <n v="500"/>
    <n v="1000"/>
    <x v="1"/>
    <x v="1"/>
  </r>
  <r>
    <n v="238"/>
    <x v="13"/>
    <s v="CUST238"/>
    <x v="1"/>
    <n v="39"/>
    <x v="0"/>
    <n v="1"/>
    <n v="500"/>
    <n v="500"/>
    <x v="2"/>
    <x v="1"/>
  </r>
  <r>
    <n v="239"/>
    <x v="171"/>
    <s v="CUST239"/>
    <x v="0"/>
    <n v="38"/>
    <x v="2"/>
    <n v="3"/>
    <n v="500"/>
    <n v="1500"/>
    <x v="2"/>
    <x v="3"/>
  </r>
  <r>
    <n v="240"/>
    <x v="74"/>
    <s v="CUST240"/>
    <x v="1"/>
    <n v="23"/>
    <x v="0"/>
    <n v="1"/>
    <n v="300"/>
    <n v="300"/>
    <x v="4"/>
    <x v="1"/>
  </r>
  <r>
    <n v="241"/>
    <x v="172"/>
    <s v="CUST241"/>
    <x v="1"/>
    <n v="23"/>
    <x v="2"/>
    <n v="3"/>
    <n v="25"/>
    <n v="75"/>
    <x v="4"/>
    <x v="0"/>
  </r>
  <r>
    <n v="242"/>
    <x v="173"/>
    <s v="CUST242"/>
    <x v="0"/>
    <n v="21"/>
    <x v="1"/>
    <n v="1"/>
    <n v="25"/>
    <n v="25"/>
    <x v="4"/>
    <x v="2"/>
  </r>
  <r>
    <n v="243"/>
    <x v="29"/>
    <s v="CUST243"/>
    <x v="1"/>
    <n v="47"/>
    <x v="2"/>
    <n v="3"/>
    <n v="300"/>
    <n v="900"/>
    <x v="1"/>
    <x v="2"/>
  </r>
  <r>
    <n v="244"/>
    <x v="174"/>
    <s v="CUST244"/>
    <x v="0"/>
    <n v="28"/>
    <x v="0"/>
    <n v="2"/>
    <n v="50"/>
    <n v="100"/>
    <x v="0"/>
    <x v="1"/>
  </r>
  <r>
    <n v="245"/>
    <x v="147"/>
    <s v="CUST245"/>
    <x v="0"/>
    <n v="47"/>
    <x v="1"/>
    <n v="3"/>
    <n v="30"/>
    <n v="90"/>
    <x v="1"/>
    <x v="0"/>
  </r>
  <r>
    <n v="246"/>
    <x v="175"/>
    <s v="CUST246"/>
    <x v="1"/>
    <n v="48"/>
    <x v="2"/>
    <n v="2"/>
    <n v="25"/>
    <n v="50"/>
    <x v="1"/>
    <x v="2"/>
  </r>
  <r>
    <n v="247"/>
    <x v="135"/>
    <s v="CUST247"/>
    <x v="0"/>
    <n v="41"/>
    <x v="2"/>
    <n v="2"/>
    <n v="30"/>
    <n v="60"/>
    <x v="2"/>
    <x v="0"/>
  </r>
  <r>
    <n v="248"/>
    <x v="176"/>
    <s v="CUST248"/>
    <x v="0"/>
    <n v="26"/>
    <x v="1"/>
    <n v="3"/>
    <n v="300"/>
    <n v="900"/>
    <x v="0"/>
    <x v="2"/>
  </r>
  <r>
    <n v="249"/>
    <x v="177"/>
    <s v="CUST249"/>
    <x v="0"/>
    <n v="20"/>
    <x v="1"/>
    <n v="1"/>
    <n v="50"/>
    <n v="50"/>
    <x v="4"/>
    <x v="0"/>
  </r>
  <r>
    <n v="250"/>
    <x v="54"/>
    <s v="CUST250"/>
    <x v="0"/>
    <n v="48"/>
    <x v="2"/>
    <n v="1"/>
    <n v="50"/>
    <n v="50"/>
    <x v="1"/>
    <x v="0"/>
  </r>
  <r>
    <n v="251"/>
    <x v="178"/>
    <s v="CUST251"/>
    <x v="1"/>
    <n v="57"/>
    <x v="0"/>
    <n v="4"/>
    <n v="50"/>
    <n v="200"/>
    <x v="3"/>
    <x v="3"/>
  </r>
  <r>
    <n v="252"/>
    <x v="179"/>
    <s v="CUST252"/>
    <x v="0"/>
    <n v="54"/>
    <x v="2"/>
    <n v="1"/>
    <n v="300"/>
    <n v="300"/>
    <x v="1"/>
    <x v="2"/>
  </r>
  <r>
    <n v="253"/>
    <x v="178"/>
    <s v="CUST253"/>
    <x v="1"/>
    <n v="53"/>
    <x v="1"/>
    <n v="4"/>
    <n v="500"/>
    <n v="2000"/>
    <x v="1"/>
    <x v="3"/>
  </r>
  <r>
    <n v="254"/>
    <x v="180"/>
    <s v="CUST254"/>
    <x v="0"/>
    <n v="41"/>
    <x v="2"/>
    <n v="1"/>
    <n v="500"/>
    <n v="500"/>
    <x v="2"/>
    <x v="3"/>
  </r>
  <r>
    <n v="255"/>
    <x v="181"/>
    <s v="CUST255"/>
    <x v="0"/>
    <n v="48"/>
    <x v="1"/>
    <n v="1"/>
    <n v="30"/>
    <n v="30"/>
    <x v="1"/>
    <x v="2"/>
  </r>
  <r>
    <n v="256"/>
    <x v="182"/>
    <s v="CUST256"/>
    <x v="0"/>
    <n v="23"/>
    <x v="1"/>
    <n v="2"/>
    <n v="500"/>
    <n v="1000"/>
    <x v="4"/>
    <x v="1"/>
  </r>
  <r>
    <n v="257"/>
    <x v="38"/>
    <s v="CUST257"/>
    <x v="0"/>
    <n v="19"/>
    <x v="0"/>
    <n v="4"/>
    <n v="500"/>
    <n v="2000"/>
    <x v="4"/>
    <x v="1"/>
  </r>
  <r>
    <n v="258"/>
    <x v="151"/>
    <s v="CUST258"/>
    <x v="1"/>
    <n v="37"/>
    <x v="1"/>
    <n v="1"/>
    <n v="50"/>
    <n v="50"/>
    <x v="2"/>
    <x v="1"/>
  </r>
  <r>
    <n v="259"/>
    <x v="183"/>
    <s v="CUST259"/>
    <x v="1"/>
    <n v="45"/>
    <x v="1"/>
    <n v="4"/>
    <n v="50"/>
    <n v="200"/>
    <x v="1"/>
    <x v="3"/>
  </r>
  <r>
    <n v="260"/>
    <x v="68"/>
    <s v="CUST260"/>
    <x v="0"/>
    <n v="28"/>
    <x v="0"/>
    <n v="2"/>
    <n v="30"/>
    <n v="60"/>
    <x v="0"/>
    <x v="3"/>
  </r>
  <r>
    <n v="261"/>
    <x v="12"/>
    <s v="CUST261"/>
    <x v="0"/>
    <n v="21"/>
    <x v="1"/>
    <n v="2"/>
    <n v="25"/>
    <n v="50"/>
    <x v="4"/>
    <x v="3"/>
  </r>
  <r>
    <n v="262"/>
    <x v="184"/>
    <s v="CUST262"/>
    <x v="1"/>
    <n v="32"/>
    <x v="0"/>
    <n v="4"/>
    <n v="30"/>
    <n v="120"/>
    <x v="0"/>
    <x v="3"/>
  </r>
  <r>
    <n v="263"/>
    <x v="117"/>
    <s v="CUST263"/>
    <x v="0"/>
    <n v="23"/>
    <x v="0"/>
    <n v="2"/>
    <n v="30"/>
    <n v="60"/>
    <x v="4"/>
    <x v="3"/>
  </r>
  <r>
    <n v="264"/>
    <x v="185"/>
    <s v="CUST264"/>
    <x v="0"/>
    <n v="47"/>
    <x v="1"/>
    <n v="3"/>
    <n v="300"/>
    <n v="900"/>
    <x v="1"/>
    <x v="1"/>
  </r>
  <r>
    <n v="265"/>
    <x v="186"/>
    <s v="CUST265"/>
    <x v="0"/>
    <n v="55"/>
    <x v="1"/>
    <n v="3"/>
    <n v="300"/>
    <n v="900"/>
    <x v="3"/>
    <x v="1"/>
  </r>
  <r>
    <n v="266"/>
    <x v="187"/>
    <s v="CUST266"/>
    <x v="1"/>
    <n v="19"/>
    <x v="2"/>
    <n v="2"/>
    <n v="30"/>
    <n v="60"/>
    <x v="4"/>
    <x v="1"/>
  </r>
  <r>
    <n v="267"/>
    <x v="188"/>
    <s v="CUST267"/>
    <x v="1"/>
    <n v="32"/>
    <x v="0"/>
    <n v="3"/>
    <n v="30"/>
    <n v="90"/>
    <x v="0"/>
    <x v="0"/>
  </r>
  <r>
    <n v="268"/>
    <x v="189"/>
    <s v="CUST268"/>
    <x v="1"/>
    <n v="28"/>
    <x v="2"/>
    <n v="1"/>
    <n v="30"/>
    <n v="30"/>
    <x v="0"/>
    <x v="1"/>
  </r>
  <r>
    <n v="269"/>
    <x v="190"/>
    <s v="CUST269"/>
    <x v="0"/>
    <n v="25"/>
    <x v="1"/>
    <n v="4"/>
    <n v="500"/>
    <n v="2000"/>
    <x v="0"/>
    <x v="1"/>
  </r>
  <r>
    <n v="270"/>
    <x v="191"/>
    <s v="CUST270"/>
    <x v="0"/>
    <n v="43"/>
    <x v="2"/>
    <n v="1"/>
    <n v="300"/>
    <n v="300"/>
    <x v="2"/>
    <x v="3"/>
  </r>
  <r>
    <n v="271"/>
    <x v="165"/>
    <s v="CUST271"/>
    <x v="1"/>
    <n v="62"/>
    <x v="0"/>
    <n v="4"/>
    <n v="30"/>
    <n v="120"/>
    <x v="3"/>
    <x v="3"/>
  </r>
  <r>
    <n v="272"/>
    <x v="192"/>
    <s v="CUST272"/>
    <x v="1"/>
    <n v="61"/>
    <x v="2"/>
    <n v="2"/>
    <n v="50"/>
    <n v="100"/>
    <x v="3"/>
    <x v="1"/>
  </r>
  <r>
    <n v="273"/>
    <x v="193"/>
    <s v="CUST273"/>
    <x v="1"/>
    <n v="22"/>
    <x v="0"/>
    <n v="1"/>
    <n v="50"/>
    <n v="50"/>
    <x v="4"/>
    <x v="2"/>
  </r>
  <r>
    <n v="274"/>
    <x v="55"/>
    <s v="CUST274"/>
    <x v="1"/>
    <n v="23"/>
    <x v="1"/>
    <n v="2"/>
    <n v="500"/>
    <n v="1000"/>
    <x v="4"/>
    <x v="2"/>
  </r>
  <r>
    <n v="275"/>
    <x v="181"/>
    <s v="CUST275"/>
    <x v="0"/>
    <n v="43"/>
    <x v="1"/>
    <n v="2"/>
    <n v="500"/>
    <n v="1000"/>
    <x v="2"/>
    <x v="2"/>
  </r>
  <r>
    <n v="276"/>
    <x v="45"/>
    <s v="CUST276"/>
    <x v="1"/>
    <n v="21"/>
    <x v="0"/>
    <n v="4"/>
    <n v="25"/>
    <n v="100"/>
    <x v="4"/>
    <x v="0"/>
  </r>
  <r>
    <n v="277"/>
    <x v="27"/>
    <s v="CUST277"/>
    <x v="0"/>
    <n v="36"/>
    <x v="1"/>
    <n v="4"/>
    <n v="25"/>
    <n v="100"/>
    <x v="2"/>
    <x v="3"/>
  </r>
  <r>
    <n v="278"/>
    <x v="6"/>
    <s v="CUST278"/>
    <x v="1"/>
    <n v="37"/>
    <x v="1"/>
    <n v="4"/>
    <n v="25"/>
    <n v="100"/>
    <x v="2"/>
    <x v="2"/>
  </r>
  <r>
    <n v="279"/>
    <x v="12"/>
    <s v="CUST279"/>
    <x v="0"/>
    <n v="50"/>
    <x v="1"/>
    <n v="1"/>
    <n v="500"/>
    <n v="500"/>
    <x v="1"/>
    <x v="3"/>
  </r>
  <r>
    <n v="280"/>
    <x v="194"/>
    <s v="CUST280"/>
    <x v="1"/>
    <n v="37"/>
    <x v="1"/>
    <n v="3"/>
    <n v="500"/>
    <n v="1500"/>
    <x v="2"/>
    <x v="2"/>
  </r>
  <r>
    <n v="281"/>
    <x v="29"/>
    <s v="CUST281"/>
    <x v="1"/>
    <n v="29"/>
    <x v="0"/>
    <n v="4"/>
    <n v="500"/>
    <n v="2000"/>
    <x v="0"/>
    <x v="2"/>
  </r>
  <r>
    <n v="282"/>
    <x v="78"/>
    <s v="CUST282"/>
    <x v="1"/>
    <n v="64"/>
    <x v="2"/>
    <n v="4"/>
    <n v="50"/>
    <n v="200"/>
    <x v="3"/>
    <x v="3"/>
  </r>
  <r>
    <n v="283"/>
    <x v="193"/>
    <s v="CUST283"/>
    <x v="1"/>
    <n v="18"/>
    <x v="2"/>
    <n v="1"/>
    <n v="500"/>
    <n v="500"/>
    <x v="4"/>
    <x v="2"/>
  </r>
  <r>
    <n v="284"/>
    <x v="195"/>
    <s v="CUST284"/>
    <x v="0"/>
    <n v="43"/>
    <x v="1"/>
    <n v="4"/>
    <n v="50"/>
    <n v="200"/>
    <x v="2"/>
    <x v="1"/>
  </r>
  <r>
    <n v="285"/>
    <x v="196"/>
    <s v="CUST285"/>
    <x v="1"/>
    <n v="31"/>
    <x v="2"/>
    <n v="1"/>
    <n v="25"/>
    <n v="25"/>
    <x v="0"/>
    <x v="3"/>
  </r>
  <r>
    <n v="286"/>
    <x v="153"/>
    <s v="CUST286"/>
    <x v="0"/>
    <n v="55"/>
    <x v="2"/>
    <n v="2"/>
    <n v="25"/>
    <n v="50"/>
    <x v="3"/>
    <x v="0"/>
  </r>
  <r>
    <n v="287"/>
    <x v="189"/>
    <s v="CUST287"/>
    <x v="0"/>
    <n v="54"/>
    <x v="1"/>
    <n v="4"/>
    <n v="25"/>
    <n v="100"/>
    <x v="1"/>
    <x v="1"/>
  </r>
  <r>
    <n v="288"/>
    <x v="197"/>
    <s v="CUST288"/>
    <x v="0"/>
    <n v="28"/>
    <x v="1"/>
    <n v="4"/>
    <n v="30"/>
    <n v="120"/>
    <x v="0"/>
    <x v="1"/>
  </r>
  <r>
    <n v="289"/>
    <x v="198"/>
    <s v="CUST289"/>
    <x v="0"/>
    <n v="53"/>
    <x v="2"/>
    <n v="2"/>
    <n v="30"/>
    <n v="60"/>
    <x v="1"/>
    <x v="0"/>
  </r>
  <r>
    <n v="290"/>
    <x v="135"/>
    <s v="CUST290"/>
    <x v="1"/>
    <n v="30"/>
    <x v="0"/>
    <n v="2"/>
    <n v="300"/>
    <n v="600"/>
    <x v="0"/>
    <x v="0"/>
  </r>
  <r>
    <n v="291"/>
    <x v="199"/>
    <s v="CUST291"/>
    <x v="0"/>
    <n v="60"/>
    <x v="1"/>
    <n v="2"/>
    <n v="300"/>
    <n v="600"/>
    <x v="3"/>
    <x v="1"/>
  </r>
  <r>
    <n v="292"/>
    <x v="15"/>
    <s v="CUST292"/>
    <x v="0"/>
    <n v="20"/>
    <x v="0"/>
    <n v="4"/>
    <n v="300"/>
    <n v="1200"/>
    <x v="4"/>
    <x v="1"/>
  </r>
  <r>
    <n v="293"/>
    <x v="173"/>
    <s v="CUST293"/>
    <x v="0"/>
    <n v="50"/>
    <x v="2"/>
    <n v="3"/>
    <n v="30"/>
    <n v="90"/>
    <x v="1"/>
    <x v="2"/>
  </r>
  <r>
    <n v="294"/>
    <x v="200"/>
    <s v="CUST294"/>
    <x v="1"/>
    <n v="23"/>
    <x v="1"/>
    <n v="3"/>
    <n v="30"/>
    <n v="90"/>
    <x v="4"/>
    <x v="2"/>
  </r>
  <r>
    <n v="295"/>
    <x v="180"/>
    <s v="CUST295"/>
    <x v="1"/>
    <n v="27"/>
    <x v="0"/>
    <n v="3"/>
    <n v="300"/>
    <n v="900"/>
    <x v="0"/>
    <x v="3"/>
  </r>
  <r>
    <n v="296"/>
    <x v="147"/>
    <s v="CUST296"/>
    <x v="1"/>
    <n v="22"/>
    <x v="1"/>
    <n v="4"/>
    <n v="300"/>
    <n v="1200"/>
    <x v="4"/>
    <x v="0"/>
  </r>
  <r>
    <n v="297"/>
    <x v="201"/>
    <s v="CUST297"/>
    <x v="1"/>
    <n v="40"/>
    <x v="2"/>
    <n v="2"/>
    <n v="500"/>
    <n v="1000"/>
    <x v="2"/>
    <x v="0"/>
  </r>
  <r>
    <n v="298"/>
    <x v="175"/>
    <s v="CUST298"/>
    <x v="0"/>
    <n v="27"/>
    <x v="0"/>
    <n v="4"/>
    <n v="300"/>
    <n v="1200"/>
    <x v="0"/>
    <x v="2"/>
  </r>
  <r>
    <n v="299"/>
    <x v="87"/>
    <s v="CUST299"/>
    <x v="0"/>
    <n v="61"/>
    <x v="2"/>
    <n v="2"/>
    <n v="500"/>
    <n v="1000"/>
    <x v="3"/>
    <x v="3"/>
  </r>
  <r>
    <n v="300"/>
    <x v="169"/>
    <s v="CUST300"/>
    <x v="1"/>
    <n v="19"/>
    <x v="2"/>
    <n v="4"/>
    <n v="50"/>
    <n v="200"/>
    <x v="4"/>
    <x v="1"/>
  </r>
  <r>
    <n v="301"/>
    <x v="154"/>
    <s v="CUST301"/>
    <x v="0"/>
    <n v="30"/>
    <x v="1"/>
    <n v="4"/>
    <n v="30"/>
    <n v="120"/>
    <x v="0"/>
    <x v="2"/>
  </r>
  <r>
    <n v="302"/>
    <x v="37"/>
    <s v="CUST302"/>
    <x v="0"/>
    <n v="57"/>
    <x v="0"/>
    <n v="2"/>
    <n v="300"/>
    <n v="600"/>
    <x v="3"/>
    <x v="3"/>
  </r>
  <r>
    <n v="303"/>
    <x v="126"/>
    <s v="CUST303"/>
    <x v="0"/>
    <n v="19"/>
    <x v="2"/>
    <n v="3"/>
    <n v="30"/>
    <n v="90"/>
    <x v="4"/>
    <x v="1"/>
  </r>
  <r>
    <n v="304"/>
    <x v="202"/>
    <s v="CUST304"/>
    <x v="1"/>
    <n v="37"/>
    <x v="2"/>
    <n v="2"/>
    <n v="30"/>
    <n v="60"/>
    <x v="2"/>
    <x v="3"/>
  </r>
  <r>
    <n v="305"/>
    <x v="42"/>
    <s v="CUST305"/>
    <x v="1"/>
    <n v="18"/>
    <x v="0"/>
    <n v="1"/>
    <n v="30"/>
    <n v="30"/>
    <x v="4"/>
    <x v="2"/>
  </r>
  <r>
    <n v="306"/>
    <x v="63"/>
    <s v="CUST306"/>
    <x v="0"/>
    <n v="54"/>
    <x v="2"/>
    <n v="1"/>
    <n v="50"/>
    <n v="50"/>
    <x v="1"/>
    <x v="3"/>
  </r>
  <r>
    <n v="307"/>
    <x v="203"/>
    <s v="CUST307"/>
    <x v="1"/>
    <n v="26"/>
    <x v="2"/>
    <n v="2"/>
    <n v="25"/>
    <n v="50"/>
    <x v="0"/>
    <x v="2"/>
  </r>
  <r>
    <n v="308"/>
    <x v="12"/>
    <s v="CUST308"/>
    <x v="1"/>
    <n v="34"/>
    <x v="0"/>
    <n v="4"/>
    <n v="300"/>
    <n v="1200"/>
    <x v="0"/>
    <x v="3"/>
  </r>
  <r>
    <n v="309"/>
    <x v="204"/>
    <s v="CUST309"/>
    <x v="1"/>
    <n v="26"/>
    <x v="0"/>
    <n v="1"/>
    <n v="25"/>
    <n v="25"/>
    <x v="0"/>
    <x v="1"/>
  </r>
  <r>
    <n v="310"/>
    <x v="205"/>
    <s v="CUST310"/>
    <x v="1"/>
    <n v="28"/>
    <x v="0"/>
    <n v="1"/>
    <n v="25"/>
    <n v="25"/>
    <x v="0"/>
    <x v="0"/>
  </r>
  <r>
    <n v="311"/>
    <x v="59"/>
    <s v="CUST311"/>
    <x v="1"/>
    <n v="32"/>
    <x v="0"/>
    <n v="4"/>
    <n v="25"/>
    <n v="100"/>
    <x v="0"/>
    <x v="1"/>
  </r>
  <r>
    <n v="312"/>
    <x v="206"/>
    <s v="CUST312"/>
    <x v="0"/>
    <n v="41"/>
    <x v="1"/>
    <n v="4"/>
    <n v="30"/>
    <n v="120"/>
    <x v="2"/>
    <x v="0"/>
  </r>
  <r>
    <n v="313"/>
    <x v="34"/>
    <s v="CUST313"/>
    <x v="1"/>
    <n v="55"/>
    <x v="0"/>
    <n v="3"/>
    <n v="500"/>
    <n v="1500"/>
    <x v="3"/>
    <x v="2"/>
  </r>
  <r>
    <n v="314"/>
    <x v="181"/>
    <s v="CUST314"/>
    <x v="0"/>
    <n v="52"/>
    <x v="1"/>
    <n v="4"/>
    <n v="30"/>
    <n v="120"/>
    <x v="1"/>
    <x v="2"/>
  </r>
  <r>
    <n v="315"/>
    <x v="207"/>
    <s v="CUST315"/>
    <x v="0"/>
    <n v="47"/>
    <x v="1"/>
    <n v="2"/>
    <n v="30"/>
    <n v="60"/>
    <x v="1"/>
    <x v="3"/>
  </r>
  <r>
    <n v="316"/>
    <x v="16"/>
    <s v="CUST316"/>
    <x v="1"/>
    <n v="48"/>
    <x v="1"/>
    <n v="2"/>
    <n v="25"/>
    <n v="50"/>
    <x v="1"/>
    <x v="2"/>
  </r>
  <r>
    <n v="317"/>
    <x v="144"/>
    <s v="CUST317"/>
    <x v="0"/>
    <n v="22"/>
    <x v="2"/>
    <n v="3"/>
    <n v="30"/>
    <n v="90"/>
    <x v="4"/>
    <x v="1"/>
  </r>
  <r>
    <n v="318"/>
    <x v="208"/>
    <s v="CUST318"/>
    <x v="0"/>
    <n v="61"/>
    <x v="1"/>
    <n v="1"/>
    <n v="25"/>
    <n v="25"/>
    <x v="3"/>
    <x v="0"/>
  </r>
  <r>
    <n v="319"/>
    <x v="209"/>
    <s v="CUST319"/>
    <x v="0"/>
    <n v="31"/>
    <x v="1"/>
    <n v="1"/>
    <n v="500"/>
    <n v="500"/>
    <x v="0"/>
    <x v="0"/>
  </r>
  <r>
    <n v="320"/>
    <x v="190"/>
    <s v="CUST320"/>
    <x v="1"/>
    <n v="28"/>
    <x v="2"/>
    <n v="4"/>
    <n v="300"/>
    <n v="1200"/>
    <x v="0"/>
    <x v="1"/>
  </r>
  <r>
    <n v="321"/>
    <x v="210"/>
    <s v="CUST321"/>
    <x v="1"/>
    <n v="26"/>
    <x v="2"/>
    <n v="2"/>
    <n v="25"/>
    <n v="50"/>
    <x v="0"/>
    <x v="3"/>
  </r>
  <r>
    <n v="322"/>
    <x v="144"/>
    <s v="CUST322"/>
    <x v="0"/>
    <n v="51"/>
    <x v="2"/>
    <n v="1"/>
    <n v="500"/>
    <n v="500"/>
    <x v="1"/>
    <x v="1"/>
  </r>
  <r>
    <n v="323"/>
    <x v="197"/>
    <s v="CUST323"/>
    <x v="1"/>
    <n v="29"/>
    <x v="0"/>
    <n v="3"/>
    <n v="300"/>
    <n v="900"/>
    <x v="0"/>
    <x v="1"/>
  </r>
  <r>
    <n v="324"/>
    <x v="101"/>
    <s v="CUST324"/>
    <x v="1"/>
    <n v="52"/>
    <x v="2"/>
    <n v="3"/>
    <n v="50"/>
    <n v="150"/>
    <x v="1"/>
    <x v="0"/>
  </r>
  <r>
    <n v="325"/>
    <x v="211"/>
    <s v="CUST325"/>
    <x v="1"/>
    <n v="52"/>
    <x v="2"/>
    <n v="2"/>
    <n v="25"/>
    <n v="50"/>
    <x v="1"/>
    <x v="0"/>
  </r>
  <r>
    <n v="326"/>
    <x v="212"/>
    <s v="CUST326"/>
    <x v="1"/>
    <n v="18"/>
    <x v="1"/>
    <n v="3"/>
    <n v="25"/>
    <n v="75"/>
    <x v="4"/>
    <x v="0"/>
  </r>
  <r>
    <n v="327"/>
    <x v="136"/>
    <s v="CUST327"/>
    <x v="0"/>
    <n v="57"/>
    <x v="2"/>
    <n v="3"/>
    <n v="50"/>
    <n v="150"/>
    <x v="3"/>
    <x v="0"/>
  </r>
  <r>
    <n v="328"/>
    <x v="125"/>
    <s v="CUST328"/>
    <x v="0"/>
    <n v="39"/>
    <x v="0"/>
    <n v="2"/>
    <n v="50"/>
    <n v="100"/>
    <x v="2"/>
    <x v="2"/>
  </r>
  <r>
    <n v="329"/>
    <x v="144"/>
    <s v="CUST329"/>
    <x v="1"/>
    <n v="46"/>
    <x v="2"/>
    <n v="4"/>
    <n v="25"/>
    <n v="100"/>
    <x v="1"/>
    <x v="1"/>
  </r>
  <r>
    <n v="330"/>
    <x v="106"/>
    <s v="CUST330"/>
    <x v="1"/>
    <n v="25"/>
    <x v="0"/>
    <n v="4"/>
    <n v="50"/>
    <n v="200"/>
    <x v="0"/>
    <x v="0"/>
  </r>
  <r>
    <n v="331"/>
    <x v="213"/>
    <s v="CUST331"/>
    <x v="0"/>
    <n v="28"/>
    <x v="2"/>
    <n v="3"/>
    <n v="30"/>
    <n v="90"/>
    <x v="0"/>
    <x v="1"/>
  </r>
  <r>
    <n v="332"/>
    <x v="214"/>
    <s v="CUST332"/>
    <x v="0"/>
    <n v="58"/>
    <x v="2"/>
    <n v="4"/>
    <n v="300"/>
    <n v="1200"/>
    <x v="3"/>
    <x v="2"/>
  </r>
  <r>
    <n v="333"/>
    <x v="57"/>
    <s v="CUST333"/>
    <x v="1"/>
    <n v="54"/>
    <x v="2"/>
    <n v="4"/>
    <n v="300"/>
    <n v="1200"/>
    <x v="1"/>
    <x v="1"/>
  </r>
  <r>
    <n v="334"/>
    <x v="215"/>
    <s v="CUST334"/>
    <x v="0"/>
    <n v="31"/>
    <x v="2"/>
    <n v="3"/>
    <n v="300"/>
    <n v="900"/>
    <x v="0"/>
    <x v="0"/>
  </r>
  <r>
    <n v="335"/>
    <x v="170"/>
    <s v="CUST335"/>
    <x v="1"/>
    <n v="47"/>
    <x v="0"/>
    <n v="4"/>
    <n v="30"/>
    <n v="120"/>
    <x v="1"/>
    <x v="1"/>
  </r>
  <r>
    <n v="336"/>
    <x v="216"/>
    <s v="CUST336"/>
    <x v="1"/>
    <n v="52"/>
    <x v="0"/>
    <n v="3"/>
    <n v="50"/>
    <n v="150"/>
    <x v="1"/>
    <x v="1"/>
  </r>
  <r>
    <n v="337"/>
    <x v="217"/>
    <s v="CUST337"/>
    <x v="0"/>
    <n v="38"/>
    <x v="1"/>
    <n v="1"/>
    <n v="500"/>
    <n v="500"/>
    <x v="2"/>
    <x v="2"/>
  </r>
  <r>
    <n v="338"/>
    <x v="191"/>
    <s v="CUST338"/>
    <x v="0"/>
    <n v="54"/>
    <x v="0"/>
    <n v="2"/>
    <n v="50"/>
    <n v="100"/>
    <x v="1"/>
    <x v="3"/>
  </r>
  <r>
    <n v="339"/>
    <x v="163"/>
    <s v="CUST339"/>
    <x v="1"/>
    <n v="22"/>
    <x v="2"/>
    <n v="2"/>
    <n v="25"/>
    <n v="50"/>
    <x v="4"/>
    <x v="2"/>
  </r>
  <r>
    <n v="340"/>
    <x v="218"/>
    <s v="CUST340"/>
    <x v="1"/>
    <n v="36"/>
    <x v="1"/>
    <n v="4"/>
    <n v="300"/>
    <n v="1200"/>
    <x v="2"/>
    <x v="0"/>
  </r>
  <r>
    <n v="341"/>
    <x v="98"/>
    <s v="CUST341"/>
    <x v="0"/>
    <n v="31"/>
    <x v="1"/>
    <n v="4"/>
    <n v="50"/>
    <n v="200"/>
    <x v="0"/>
    <x v="2"/>
  </r>
  <r>
    <n v="342"/>
    <x v="208"/>
    <s v="CUST342"/>
    <x v="1"/>
    <n v="43"/>
    <x v="1"/>
    <n v="4"/>
    <n v="500"/>
    <n v="2000"/>
    <x v="2"/>
    <x v="0"/>
  </r>
  <r>
    <n v="343"/>
    <x v="215"/>
    <s v="CUST343"/>
    <x v="0"/>
    <n v="21"/>
    <x v="2"/>
    <n v="2"/>
    <n v="25"/>
    <n v="50"/>
    <x v="4"/>
    <x v="0"/>
  </r>
  <r>
    <n v="344"/>
    <x v="219"/>
    <s v="CUST344"/>
    <x v="1"/>
    <n v="42"/>
    <x v="0"/>
    <n v="1"/>
    <n v="30"/>
    <n v="30"/>
    <x v="2"/>
    <x v="1"/>
  </r>
  <r>
    <n v="345"/>
    <x v="220"/>
    <s v="CUST345"/>
    <x v="0"/>
    <n v="62"/>
    <x v="2"/>
    <n v="1"/>
    <n v="30"/>
    <n v="30"/>
    <x v="3"/>
    <x v="0"/>
  </r>
  <r>
    <n v="346"/>
    <x v="213"/>
    <s v="CUST346"/>
    <x v="0"/>
    <n v="59"/>
    <x v="1"/>
    <n v="2"/>
    <n v="500"/>
    <n v="1000"/>
    <x v="3"/>
    <x v="1"/>
  </r>
  <r>
    <n v="347"/>
    <x v="25"/>
    <s v="CUST347"/>
    <x v="0"/>
    <n v="42"/>
    <x v="2"/>
    <n v="1"/>
    <n v="25"/>
    <n v="25"/>
    <x v="2"/>
    <x v="3"/>
  </r>
  <r>
    <n v="348"/>
    <x v="221"/>
    <s v="CUST348"/>
    <x v="1"/>
    <n v="35"/>
    <x v="2"/>
    <n v="2"/>
    <n v="300"/>
    <n v="600"/>
    <x v="2"/>
    <x v="1"/>
  </r>
  <r>
    <n v="349"/>
    <x v="103"/>
    <s v="CUST349"/>
    <x v="1"/>
    <n v="57"/>
    <x v="0"/>
    <n v="1"/>
    <n v="50"/>
    <n v="50"/>
    <x v="3"/>
    <x v="0"/>
  </r>
  <r>
    <n v="350"/>
    <x v="222"/>
    <s v="CUST350"/>
    <x v="0"/>
    <n v="25"/>
    <x v="0"/>
    <n v="3"/>
    <n v="25"/>
    <n v="75"/>
    <x v="0"/>
    <x v="0"/>
  </r>
  <r>
    <n v="351"/>
    <x v="223"/>
    <s v="CUST351"/>
    <x v="1"/>
    <n v="56"/>
    <x v="1"/>
    <n v="3"/>
    <n v="30"/>
    <n v="90"/>
    <x v="3"/>
    <x v="0"/>
  </r>
  <r>
    <n v="352"/>
    <x v="86"/>
    <s v="CUST352"/>
    <x v="0"/>
    <n v="57"/>
    <x v="2"/>
    <n v="2"/>
    <n v="500"/>
    <n v="1000"/>
    <x v="3"/>
    <x v="3"/>
  </r>
  <r>
    <n v="353"/>
    <x v="224"/>
    <s v="CUST353"/>
    <x v="0"/>
    <n v="31"/>
    <x v="2"/>
    <n v="1"/>
    <n v="500"/>
    <n v="500"/>
    <x v="0"/>
    <x v="2"/>
  </r>
  <r>
    <n v="354"/>
    <x v="225"/>
    <s v="CUST354"/>
    <x v="1"/>
    <n v="49"/>
    <x v="0"/>
    <n v="4"/>
    <n v="50"/>
    <n v="200"/>
    <x v="1"/>
    <x v="2"/>
  </r>
  <r>
    <n v="355"/>
    <x v="174"/>
    <s v="CUST355"/>
    <x v="1"/>
    <n v="55"/>
    <x v="2"/>
    <n v="1"/>
    <n v="500"/>
    <n v="500"/>
    <x v="3"/>
    <x v="1"/>
  </r>
  <r>
    <n v="356"/>
    <x v="210"/>
    <s v="CUST356"/>
    <x v="0"/>
    <n v="50"/>
    <x v="2"/>
    <n v="3"/>
    <n v="500"/>
    <n v="1500"/>
    <x v="1"/>
    <x v="3"/>
  </r>
  <r>
    <n v="357"/>
    <x v="143"/>
    <s v="CUST357"/>
    <x v="1"/>
    <n v="40"/>
    <x v="2"/>
    <n v="3"/>
    <n v="25"/>
    <n v="75"/>
    <x v="2"/>
    <x v="2"/>
  </r>
  <r>
    <n v="358"/>
    <x v="42"/>
    <s v="CUST358"/>
    <x v="1"/>
    <n v="32"/>
    <x v="0"/>
    <n v="1"/>
    <n v="300"/>
    <n v="300"/>
    <x v="0"/>
    <x v="2"/>
  </r>
  <r>
    <n v="359"/>
    <x v="94"/>
    <s v="CUST359"/>
    <x v="0"/>
    <n v="50"/>
    <x v="1"/>
    <n v="1"/>
    <n v="50"/>
    <n v="50"/>
    <x v="1"/>
    <x v="3"/>
  </r>
  <r>
    <n v="360"/>
    <x v="176"/>
    <s v="CUST360"/>
    <x v="0"/>
    <n v="42"/>
    <x v="1"/>
    <n v="4"/>
    <n v="25"/>
    <n v="100"/>
    <x v="2"/>
    <x v="2"/>
  </r>
  <r>
    <n v="361"/>
    <x v="70"/>
    <s v="CUST361"/>
    <x v="1"/>
    <n v="34"/>
    <x v="2"/>
    <n v="4"/>
    <n v="300"/>
    <n v="1200"/>
    <x v="0"/>
    <x v="1"/>
  </r>
  <r>
    <n v="362"/>
    <x v="188"/>
    <s v="CUST362"/>
    <x v="0"/>
    <n v="50"/>
    <x v="1"/>
    <n v="1"/>
    <n v="25"/>
    <n v="25"/>
    <x v="1"/>
    <x v="0"/>
  </r>
  <r>
    <n v="363"/>
    <x v="226"/>
    <s v="CUST363"/>
    <x v="0"/>
    <n v="64"/>
    <x v="0"/>
    <n v="1"/>
    <n v="25"/>
    <n v="25"/>
    <x v="3"/>
    <x v="3"/>
  </r>
  <r>
    <n v="364"/>
    <x v="96"/>
    <s v="CUST364"/>
    <x v="1"/>
    <n v="19"/>
    <x v="0"/>
    <n v="1"/>
    <n v="500"/>
    <n v="500"/>
    <x v="4"/>
    <x v="3"/>
  </r>
  <r>
    <n v="365"/>
    <x v="86"/>
    <s v="CUST365"/>
    <x v="0"/>
    <n v="31"/>
    <x v="1"/>
    <n v="1"/>
    <n v="300"/>
    <n v="300"/>
    <x v="0"/>
    <x v="3"/>
  </r>
  <r>
    <n v="366"/>
    <x v="227"/>
    <s v="CUST366"/>
    <x v="0"/>
    <n v="57"/>
    <x v="1"/>
    <n v="2"/>
    <n v="50"/>
    <n v="100"/>
    <x v="3"/>
    <x v="1"/>
  </r>
  <r>
    <n v="367"/>
    <x v="228"/>
    <s v="CUST367"/>
    <x v="1"/>
    <n v="57"/>
    <x v="2"/>
    <n v="1"/>
    <n v="50"/>
    <n v="50"/>
    <x v="3"/>
    <x v="1"/>
  </r>
  <r>
    <n v="368"/>
    <x v="96"/>
    <s v="CUST368"/>
    <x v="1"/>
    <n v="56"/>
    <x v="1"/>
    <n v="4"/>
    <n v="300"/>
    <n v="1200"/>
    <x v="3"/>
    <x v="3"/>
  </r>
  <r>
    <n v="369"/>
    <x v="229"/>
    <s v="CUST369"/>
    <x v="0"/>
    <n v="23"/>
    <x v="2"/>
    <n v="3"/>
    <n v="500"/>
    <n v="1500"/>
    <x v="4"/>
    <x v="0"/>
  </r>
  <r>
    <n v="370"/>
    <x v="230"/>
    <s v="CUST370"/>
    <x v="0"/>
    <n v="23"/>
    <x v="2"/>
    <n v="2"/>
    <n v="30"/>
    <n v="60"/>
    <x v="4"/>
    <x v="0"/>
  </r>
  <r>
    <n v="371"/>
    <x v="62"/>
    <s v="CUST371"/>
    <x v="1"/>
    <n v="20"/>
    <x v="0"/>
    <n v="1"/>
    <n v="25"/>
    <n v="25"/>
    <x v="4"/>
    <x v="1"/>
  </r>
  <r>
    <n v="372"/>
    <x v="227"/>
    <s v="CUST372"/>
    <x v="1"/>
    <n v="24"/>
    <x v="0"/>
    <n v="3"/>
    <n v="500"/>
    <n v="1500"/>
    <x v="4"/>
    <x v="1"/>
  </r>
  <r>
    <n v="373"/>
    <x v="99"/>
    <s v="CUST373"/>
    <x v="1"/>
    <n v="25"/>
    <x v="0"/>
    <n v="2"/>
    <n v="300"/>
    <n v="600"/>
    <x v="0"/>
    <x v="0"/>
  </r>
  <r>
    <n v="374"/>
    <x v="175"/>
    <s v="CUST374"/>
    <x v="1"/>
    <n v="59"/>
    <x v="0"/>
    <n v="3"/>
    <n v="25"/>
    <n v="75"/>
    <x v="3"/>
    <x v="2"/>
  </r>
  <r>
    <n v="375"/>
    <x v="129"/>
    <s v="CUST375"/>
    <x v="0"/>
    <n v="32"/>
    <x v="1"/>
    <n v="1"/>
    <n v="50"/>
    <n v="50"/>
    <x v="0"/>
    <x v="0"/>
  </r>
  <r>
    <n v="376"/>
    <x v="42"/>
    <s v="CUST376"/>
    <x v="1"/>
    <n v="64"/>
    <x v="0"/>
    <n v="1"/>
    <n v="30"/>
    <n v="30"/>
    <x v="3"/>
    <x v="2"/>
  </r>
  <r>
    <n v="377"/>
    <x v="176"/>
    <s v="CUST377"/>
    <x v="1"/>
    <n v="46"/>
    <x v="1"/>
    <n v="4"/>
    <n v="50"/>
    <n v="200"/>
    <x v="1"/>
    <x v="2"/>
  </r>
  <r>
    <n v="378"/>
    <x v="231"/>
    <s v="CUST378"/>
    <x v="0"/>
    <n v="50"/>
    <x v="0"/>
    <n v="1"/>
    <n v="300"/>
    <n v="300"/>
    <x v="1"/>
    <x v="3"/>
  </r>
  <r>
    <n v="379"/>
    <x v="57"/>
    <s v="CUST379"/>
    <x v="1"/>
    <n v="47"/>
    <x v="1"/>
    <n v="1"/>
    <n v="25"/>
    <n v="25"/>
    <x v="1"/>
    <x v="1"/>
  </r>
  <r>
    <n v="380"/>
    <x v="4"/>
    <s v="CUST380"/>
    <x v="0"/>
    <n v="56"/>
    <x v="2"/>
    <n v="2"/>
    <n v="300"/>
    <n v="600"/>
    <x v="3"/>
    <x v="2"/>
  </r>
  <r>
    <n v="381"/>
    <x v="67"/>
    <s v="CUST381"/>
    <x v="1"/>
    <n v="44"/>
    <x v="1"/>
    <n v="4"/>
    <n v="25"/>
    <n v="100"/>
    <x v="2"/>
    <x v="3"/>
  </r>
  <r>
    <n v="382"/>
    <x v="232"/>
    <s v="CUST382"/>
    <x v="1"/>
    <n v="53"/>
    <x v="1"/>
    <n v="2"/>
    <n v="500"/>
    <n v="1000"/>
    <x v="1"/>
    <x v="2"/>
  </r>
  <r>
    <n v="383"/>
    <x v="125"/>
    <s v="CUST383"/>
    <x v="1"/>
    <n v="46"/>
    <x v="0"/>
    <n v="3"/>
    <n v="30"/>
    <n v="90"/>
    <x v="1"/>
    <x v="2"/>
  </r>
  <r>
    <n v="384"/>
    <x v="160"/>
    <s v="CUST384"/>
    <x v="0"/>
    <n v="55"/>
    <x v="1"/>
    <n v="1"/>
    <n v="500"/>
    <n v="500"/>
    <x v="3"/>
    <x v="3"/>
  </r>
  <r>
    <n v="385"/>
    <x v="233"/>
    <s v="CUST385"/>
    <x v="0"/>
    <n v="50"/>
    <x v="2"/>
    <n v="3"/>
    <n v="500"/>
    <n v="1500"/>
    <x v="1"/>
    <x v="0"/>
  </r>
  <r>
    <n v="386"/>
    <x v="56"/>
    <s v="CUST386"/>
    <x v="1"/>
    <n v="54"/>
    <x v="2"/>
    <n v="2"/>
    <n v="300"/>
    <n v="600"/>
    <x v="1"/>
    <x v="1"/>
  </r>
  <r>
    <n v="387"/>
    <x v="234"/>
    <s v="CUST387"/>
    <x v="0"/>
    <n v="44"/>
    <x v="0"/>
    <n v="1"/>
    <n v="30"/>
    <n v="30"/>
    <x v="2"/>
    <x v="3"/>
  </r>
  <r>
    <n v="388"/>
    <x v="235"/>
    <s v="CUST388"/>
    <x v="0"/>
    <n v="50"/>
    <x v="2"/>
    <n v="1"/>
    <n v="25"/>
    <n v="25"/>
    <x v="1"/>
    <x v="0"/>
  </r>
  <r>
    <n v="389"/>
    <x v="187"/>
    <s v="CUST389"/>
    <x v="0"/>
    <n v="21"/>
    <x v="1"/>
    <n v="2"/>
    <n v="25"/>
    <n v="50"/>
    <x v="4"/>
    <x v="1"/>
  </r>
  <r>
    <n v="390"/>
    <x v="118"/>
    <s v="CUST390"/>
    <x v="0"/>
    <n v="39"/>
    <x v="2"/>
    <n v="2"/>
    <n v="50"/>
    <n v="100"/>
    <x v="2"/>
    <x v="0"/>
  </r>
  <r>
    <n v="391"/>
    <x v="228"/>
    <s v="CUST391"/>
    <x v="0"/>
    <n v="19"/>
    <x v="0"/>
    <n v="2"/>
    <n v="25"/>
    <n v="50"/>
    <x v="4"/>
    <x v="1"/>
  </r>
  <r>
    <n v="392"/>
    <x v="236"/>
    <s v="CUST392"/>
    <x v="0"/>
    <n v="27"/>
    <x v="1"/>
    <n v="2"/>
    <n v="300"/>
    <n v="600"/>
    <x v="0"/>
    <x v="1"/>
  </r>
  <r>
    <n v="393"/>
    <x v="120"/>
    <s v="CUST393"/>
    <x v="1"/>
    <n v="22"/>
    <x v="0"/>
    <n v="2"/>
    <n v="500"/>
    <n v="1000"/>
    <x v="4"/>
    <x v="0"/>
  </r>
  <r>
    <n v="394"/>
    <x v="226"/>
    <s v="CUST394"/>
    <x v="1"/>
    <n v="27"/>
    <x v="1"/>
    <n v="1"/>
    <n v="500"/>
    <n v="500"/>
    <x v="0"/>
    <x v="3"/>
  </r>
  <r>
    <n v="395"/>
    <x v="237"/>
    <s v="CUST395"/>
    <x v="0"/>
    <n v="50"/>
    <x v="2"/>
    <n v="2"/>
    <n v="500"/>
    <n v="1000"/>
    <x v="1"/>
    <x v="1"/>
  </r>
  <r>
    <n v="396"/>
    <x v="238"/>
    <s v="CUST396"/>
    <x v="1"/>
    <n v="55"/>
    <x v="0"/>
    <n v="1"/>
    <n v="30"/>
    <n v="30"/>
    <x v="3"/>
    <x v="1"/>
  </r>
  <r>
    <n v="397"/>
    <x v="239"/>
    <s v="CUST397"/>
    <x v="1"/>
    <n v="30"/>
    <x v="0"/>
    <n v="1"/>
    <n v="25"/>
    <n v="25"/>
    <x v="0"/>
    <x v="2"/>
  </r>
  <r>
    <n v="398"/>
    <x v="42"/>
    <s v="CUST398"/>
    <x v="1"/>
    <n v="48"/>
    <x v="1"/>
    <n v="2"/>
    <n v="300"/>
    <n v="600"/>
    <x v="1"/>
    <x v="2"/>
  </r>
  <r>
    <n v="399"/>
    <x v="240"/>
    <s v="CUST399"/>
    <x v="1"/>
    <n v="64"/>
    <x v="0"/>
    <n v="2"/>
    <n v="30"/>
    <n v="60"/>
    <x v="3"/>
    <x v="2"/>
  </r>
  <r>
    <n v="400"/>
    <x v="130"/>
    <s v="CUST400"/>
    <x v="0"/>
    <n v="53"/>
    <x v="1"/>
    <n v="4"/>
    <n v="50"/>
    <n v="200"/>
    <x v="1"/>
    <x v="1"/>
  </r>
  <r>
    <n v="401"/>
    <x v="120"/>
    <s v="CUST401"/>
    <x v="1"/>
    <n v="62"/>
    <x v="1"/>
    <n v="1"/>
    <n v="300"/>
    <n v="300"/>
    <x v="3"/>
    <x v="0"/>
  </r>
  <r>
    <n v="402"/>
    <x v="34"/>
    <s v="CUST402"/>
    <x v="1"/>
    <n v="41"/>
    <x v="1"/>
    <n v="2"/>
    <n v="300"/>
    <n v="600"/>
    <x v="2"/>
    <x v="2"/>
  </r>
  <r>
    <n v="403"/>
    <x v="241"/>
    <s v="CUST403"/>
    <x v="0"/>
    <n v="32"/>
    <x v="1"/>
    <n v="2"/>
    <n v="300"/>
    <n v="600"/>
    <x v="0"/>
    <x v="2"/>
  </r>
  <r>
    <n v="404"/>
    <x v="242"/>
    <s v="CUST404"/>
    <x v="0"/>
    <n v="46"/>
    <x v="2"/>
    <n v="2"/>
    <n v="500"/>
    <n v="1000"/>
    <x v="1"/>
    <x v="2"/>
  </r>
  <r>
    <n v="405"/>
    <x v="41"/>
    <s v="CUST405"/>
    <x v="1"/>
    <n v="25"/>
    <x v="1"/>
    <n v="4"/>
    <n v="300"/>
    <n v="1200"/>
    <x v="0"/>
    <x v="0"/>
  </r>
  <r>
    <n v="406"/>
    <x v="69"/>
    <s v="CUST406"/>
    <x v="1"/>
    <n v="22"/>
    <x v="0"/>
    <n v="4"/>
    <n v="25"/>
    <n v="100"/>
    <x v="4"/>
    <x v="2"/>
  </r>
  <r>
    <n v="407"/>
    <x v="243"/>
    <s v="CUST407"/>
    <x v="1"/>
    <n v="46"/>
    <x v="2"/>
    <n v="3"/>
    <n v="300"/>
    <n v="900"/>
    <x v="1"/>
    <x v="3"/>
  </r>
  <r>
    <n v="408"/>
    <x v="225"/>
    <s v="CUST408"/>
    <x v="1"/>
    <n v="64"/>
    <x v="0"/>
    <n v="1"/>
    <n v="500"/>
    <n v="500"/>
    <x v="3"/>
    <x v="2"/>
  </r>
  <r>
    <n v="409"/>
    <x v="244"/>
    <s v="CUST409"/>
    <x v="1"/>
    <n v="21"/>
    <x v="2"/>
    <n v="3"/>
    <n v="300"/>
    <n v="900"/>
    <x v="4"/>
    <x v="1"/>
  </r>
  <r>
    <n v="410"/>
    <x v="245"/>
    <s v="CUST410"/>
    <x v="1"/>
    <n v="29"/>
    <x v="1"/>
    <n v="2"/>
    <n v="50"/>
    <n v="100"/>
    <x v="0"/>
    <x v="0"/>
  </r>
  <r>
    <n v="411"/>
    <x v="42"/>
    <s v="CUST411"/>
    <x v="0"/>
    <n v="62"/>
    <x v="2"/>
    <n v="4"/>
    <n v="50"/>
    <n v="200"/>
    <x v="3"/>
    <x v="2"/>
  </r>
  <r>
    <n v="412"/>
    <x v="18"/>
    <s v="CUST412"/>
    <x v="1"/>
    <n v="19"/>
    <x v="2"/>
    <n v="4"/>
    <n v="500"/>
    <n v="2000"/>
    <x v="4"/>
    <x v="0"/>
  </r>
  <r>
    <n v="413"/>
    <x v="140"/>
    <s v="CUST413"/>
    <x v="1"/>
    <n v="44"/>
    <x v="0"/>
    <n v="3"/>
    <n v="25"/>
    <n v="75"/>
    <x v="2"/>
    <x v="0"/>
  </r>
  <r>
    <n v="414"/>
    <x v="119"/>
    <s v="CUST414"/>
    <x v="0"/>
    <n v="48"/>
    <x v="0"/>
    <n v="4"/>
    <n v="25"/>
    <n v="100"/>
    <x v="1"/>
    <x v="2"/>
  </r>
  <r>
    <n v="415"/>
    <x v="246"/>
    <s v="CUST415"/>
    <x v="0"/>
    <n v="53"/>
    <x v="1"/>
    <n v="2"/>
    <n v="30"/>
    <n v="60"/>
    <x v="1"/>
    <x v="1"/>
  </r>
  <r>
    <n v="416"/>
    <x v="15"/>
    <s v="CUST416"/>
    <x v="0"/>
    <n v="53"/>
    <x v="2"/>
    <n v="4"/>
    <n v="500"/>
    <n v="2000"/>
    <x v="1"/>
    <x v="1"/>
  </r>
  <r>
    <n v="417"/>
    <x v="245"/>
    <s v="CUST417"/>
    <x v="0"/>
    <n v="43"/>
    <x v="2"/>
    <n v="3"/>
    <n v="300"/>
    <n v="900"/>
    <x v="2"/>
    <x v="0"/>
  </r>
  <r>
    <n v="418"/>
    <x v="12"/>
    <s v="CUST418"/>
    <x v="1"/>
    <n v="60"/>
    <x v="2"/>
    <n v="2"/>
    <n v="500"/>
    <n v="1000"/>
    <x v="3"/>
    <x v="3"/>
  </r>
  <r>
    <n v="419"/>
    <x v="247"/>
    <s v="CUST419"/>
    <x v="1"/>
    <n v="44"/>
    <x v="1"/>
    <n v="3"/>
    <n v="30"/>
    <n v="90"/>
    <x v="2"/>
    <x v="2"/>
  </r>
  <r>
    <n v="420"/>
    <x v="43"/>
    <s v="CUST420"/>
    <x v="1"/>
    <n v="22"/>
    <x v="1"/>
    <n v="4"/>
    <n v="500"/>
    <n v="2000"/>
    <x v="4"/>
    <x v="1"/>
  </r>
  <r>
    <n v="421"/>
    <x v="126"/>
    <s v="CUST421"/>
    <x v="1"/>
    <n v="37"/>
    <x v="1"/>
    <n v="3"/>
    <n v="500"/>
    <n v="1500"/>
    <x v="2"/>
    <x v="1"/>
  </r>
  <r>
    <n v="422"/>
    <x v="248"/>
    <s v="CUST422"/>
    <x v="1"/>
    <n v="28"/>
    <x v="1"/>
    <n v="3"/>
    <n v="30"/>
    <n v="90"/>
    <x v="0"/>
    <x v="3"/>
  </r>
  <r>
    <n v="423"/>
    <x v="249"/>
    <s v="CUST423"/>
    <x v="1"/>
    <n v="27"/>
    <x v="1"/>
    <n v="1"/>
    <n v="25"/>
    <n v="25"/>
    <x v="0"/>
    <x v="2"/>
  </r>
  <r>
    <n v="424"/>
    <x v="250"/>
    <s v="CUST424"/>
    <x v="0"/>
    <n v="57"/>
    <x v="0"/>
    <n v="4"/>
    <n v="300"/>
    <n v="1200"/>
    <x v="3"/>
    <x v="0"/>
  </r>
  <r>
    <n v="425"/>
    <x v="100"/>
    <s v="CUST425"/>
    <x v="1"/>
    <n v="55"/>
    <x v="2"/>
    <n v="4"/>
    <n v="30"/>
    <n v="120"/>
    <x v="3"/>
    <x v="2"/>
  </r>
  <r>
    <n v="426"/>
    <x v="134"/>
    <s v="CUST426"/>
    <x v="0"/>
    <n v="23"/>
    <x v="2"/>
    <n v="3"/>
    <n v="50"/>
    <n v="150"/>
    <x v="4"/>
    <x v="2"/>
  </r>
  <r>
    <n v="427"/>
    <x v="196"/>
    <s v="CUST427"/>
    <x v="0"/>
    <n v="25"/>
    <x v="2"/>
    <n v="1"/>
    <n v="25"/>
    <n v="25"/>
    <x v="0"/>
    <x v="3"/>
  </r>
  <r>
    <n v="428"/>
    <x v="49"/>
    <s v="CUST428"/>
    <x v="1"/>
    <n v="40"/>
    <x v="2"/>
    <n v="4"/>
    <n v="50"/>
    <n v="200"/>
    <x v="2"/>
    <x v="0"/>
  </r>
  <r>
    <n v="429"/>
    <x v="251"/>
    <s v="CUST429"/>
    <x v="0"/>
    <n v="64"/>
    <x v="2"/>
    <n v="2"/>
    <n v="25"/>
    <n v="50"/>
    <x v="3"/>
    <x v="1"/>
  </r>
  <r>
    <n v="430"/>
    <x v="252"/>
    <s v="CUST430"/>
    <x v="1"/>
    <n v="43"/>
    <x v="2"/>
    <n v="3"/>
    <n v="300"/>
    <n v="900"/>
    <x v="2"/>
    <x v="3"/>
  </r>
  <r>
    <n v="431"/>
    <x v="21"/>
    <s v="CUST431"/>
    <x v="0"/>
    <n v="63"/>
    <x v="2"/>
    <n v="4"/>
    <n v="300"/>
    <n v="1200"/>
    <x v="3"/>
    <x v="0"/>
  </r>
  <r>
    <n v="432"/>
    <x v="228"/>
    <s v="CUST432"/>
    <x v="1"/>
    <n v="60"/>
    <x v="2"/>
    <n v="2"/>
    <n v="500"/>
    <n v="1000"/>
    <x v="3"/>
    <x v="1"/>
  </r>
  <r>
    <n v="433"/>
    <x v="1"/>
    <s v="CUST433"/>
    <x v="0"/>
    <n v="29"/>
    <x v="0"/>
    <n v="4"/>
    <n v="50"/>
    <n v="200"/>
    <x v="0"/>
    <x v="1"/>
  </r>
  <r>
    <n v="434"/>
    <x v="195"/>
    <s v="CUST434"/>
    <x v="1"/>
    <n v="43"/>
    <x v="2"/>
    <n v="2"/>
    <n v="25"/>
    <n v="50"/>
    <x v="2"/>
    <x v="1"/>
  </r>
  <r>
    <n v="435"/>
    <x v="156"/>
    <s v="CUST435"/>
    <x v="1"/>
    <n v="30"/>
    <x v="0"/>
    <n v="3"/>
    <n v="300"/>
    <n v="900"/>
    <x v="0"/>
    <x v="1"/>
  </r>
  <r>
    <n v="436"/>
    <x v="253"/>
    <s v="CUST436"/>
    <x v="1"/>
    <n v="57"/>
    <x v="1"/>
    <n v="4"/>
    <n v="30"/>
    <n v="120"/>
    <x v="3"/>
    <x v="2"/>
  </r>
  <r>
    <n v="437"/>
    <x v="9"/>
    <s v="CUST437"/>
    <x v="1"/>
    <n v="35"/>
    <x v="2"/>
    <n v="4"/>
    <n v="300"/>
    <n v="1200"/>
    <x v="2"/>
    <x v="0"/>
  </r>
  <r>
    <n v="438"/>
    <x v="254"/>
    <s v="CUST438"/>
    <x v="1"/>
    <n v="42"/>
    <x v="1"/>
    <n v="1"/>
    <n v="30"/>
    <n v="30"/>
    <x v="2"/>
    <x v="1"/>
  </r>
  <r>
    <n v="439"/>
    <x v="67"/>
    <s v="CUST439"/>
    <x v="0"/>
    <n v="50"/>
    <x v="1"/>
    <n v="3"/>
    <n v="25"/>
    <n v="75"/>
    <x v="1"/>
    <x v="3"/>
  </r>
  <r>
    <n v="440"/>
    <x v="103"/>
    <s v="CUST440"/>
    <x v="0"/>
    <n v="64"/>
    <x v="1"/>
    <n v="2"/>
    <n v="300"/>
    <n v="600"/>
    <x v="3"/>
    <x v="0"/>
  </r>
  <r>
    <n v="441"/>
    <x v="49"/>
    <s v="CUST441"/>
    <x v="0"/>
    <n v="57"/>
    <x v="0"/>
    <n v="4"/>
    <n v="300"/>
    <n v="1200"/>
    <x v="3"/>
    <x v="0"/>
  </r>
  <r>
    <n v="442"/>
    <x v="255"/>
    <s v="CUST442"/>
    <x v="1"/>
    <n v="60"/>
    <x v="1"/>
    <n v="4"/>
    <n v="25"/>
    <n v="100"/>
    <x v="3"/>
    <x v="2"/>
  </r>
  <r>
    <n v="443"/>
    <x v="183"/>
    <s v="CUST443"/>
    <x v="0"/>
    <n v="29"/>
    <x v="1"/>
    <n v="2"/>
    <n v="300"/>
    <n v="600"/>
    <x v="0"/>
    <x v="3"/>
  </r>
  <r>
    <n v="444"/>
    <x v="150"/>
    <s v="CUST444"/>
    <x v="1"/>
    <n v="61"/>
    <x v="1"/>
    <n v="3"/>
    <n v="30"/>
    <n v="90"/>
    <x v="3"/>
    <x v="2"/>
  </r>
  <r>
    <n v="445"/>
    <x v="256"/>
    <s v="CUST445"/>
    <x v="1"/>
    <n v="53"/>
    <x v="2"/>
    <n v="1"/>
    <n v="300"/>
    <n v="300"/>
    <x v="1"/>
    <x v="1"/>
  </r>
  <r>
    <n v="446"/>
    <x v="142"/>
    <s v="CUST446"/>
    <x v="0"/>
    <n v="21"/>
    <x v="2"/>
    <n v="1"/>
    <n v="50"/>
    <n v="50"/>
    <x v="4"/>
    <x v="3"/>
  </r>
  <r>
    <n v="447"/>
    <x v="65"/>
    <s v="CUST447"/>
    <x v="0"/>
    <n v="22"/>
    <x v="0"/>
    <n v="4"/>
    <n v="500"/>
    <n v="2000"/>
    <x v="4"/>
    <x v="3"/>
  </r>
  <r>
    <n v="448"/>
    <x v="219"/>
    <s v="CUST448"/>
    <x v="1"/>
    <n v="54"/>
    <x v="0"/>
    <n v="2"/>
    <n v="30"/>
    <n v="60"/>
    <x v="1"/>
    <x v="1"/>
  </r>
  <r>
    <n v="449"/>
    <x v="39"/>
    <s v="CUST449"/>
    <x v="0"/>
    <n v="25"/>
    <x v="2"/>
    <n v="4"/>
    <n v="50"/>
    <n v="200"/>
    <x v="0"/>
    <x v="3"/>
  </r>
  <r>
    <n v="450"/>
    <x v="69"/>
    <s v="CUST450"/>
    <x v="1"/>
    <n v="59"/>
    <x v="0"/>
    <n v="2"/>
    <n v="25"/>
    <n v="50"/>
    <x v="3"/>
    <x v="2"/>
  </r>
  <r>
    <n v="451"/>
    <x v="72"/>
    <s v="CUST451"/>
    <x v="1"/>
    <n v="45"/>
    <x v="2"/>
    <n v="1"/>
    <n v="30"/>
    <n v="30"/>
    <x v="1"/>
    <x v="1"/>
  </r>
  <r>
    <n v="452"/>
    <x v="193"/>
    <s v="CUST452"/>
    <x v="1"/>
    <n v="48"/>
    <x v="1"/>
    <n v="3"/>
    <n v="500"/>
    <n v="1500"/>
    <x v="1"/>
    <x v="2"/>
  </r>
  <r>
    <n v="453"/>
    <x v="236"/>
    <s v="CUST453"/>
    <x v="1"/>
    <n v="26"/>
    <x v="1"/>
    <n v="2"/>
    <n v="500"/>
    <n v="1000"/>
    <x v="0"/>
    <x v="1"/>
  </r>
  <r>
    <n v="454"/>
    <x v="7"/>
    <s v="CUST454"/>
    <x v="1"/>
    <n v="46"/>
    <x v="0"/>
    <n v="1"/>
    <n v="25"/>
    <n v="25"/>
    <x v="1"/>
    <x v="1"/>
  </r>
  <r>
    <n v="455"/>
    <x v="68"/>
    <s v="CUST455"/>
    <x v="0"/>
    <n v="31"/>
    <x v="2"/>
    <n v="4"/>
    <n v="25"/>
    <n v="100"/>
    <x v="0"/>
    <x v="3"/>
  </r>
  <r>
    <n v="456"/>
    <x v="257"/>
    <s v="CUST456"/>
    <x v="0"/>
    <n v="57"/>
    <x v="2"/>
    <n v="2"/>
    <n v="30"/>
    <n v="60"/>
    <x v="3"/>
    <x v="0"/>
  </r>
  <r>
    <n v="457"/>
    <x v="180"/>
    <s v="CUST457"/>
    <x v="1"/>
    <n v="58"/>
    <x v="0"/>
    <n v="3"/>
    <n v="300"/>
    <n v="900"/>
    <x v="3"/>
    <x v="3"/>
  </r>
  <r>
    <n v="458"/>
    <x v="220"/>
    <s v="CUST458"/>
    <x v="1"/>
    <n v="39"/>
    <x v="2"/>
    <n v="4"/>
    <n v="25"/>
    <n v="100"/>
    <x v="2"/>
    <x v="0"/>
  </r>
  <r>
    <n v="459"/>
    <x v="34"/>
    <s v="CUST459"/>
    <x v="0"/>
    <n v="28"/>
    <x v="1"/>
    <n v="4"/>
    <n v="300"/>
    <n v="1200"/>
    <x v="0"/>
    <x v="2"/>
  </r>
  <r>
    <n v="460"/>
    <x v="173"/>
    <s v="CUST460"/>
    <x v="0"/>
    <n v="40"/>
    <x v="0"/>
    <n v="1"/>
    <n v="50"/>
    <n v="50"/>
    <x v="2"/>
    <x v="2"/>
  </r>
  <r>
    <n v="461"/>
    <x v="66"/>
    <s v="CUST461"/>
    <x v="1"/>
    <n v="18"/>
    <x v="0"/>
    <n v="2"/>
    <n v="500"/>
    <n v="1000"/>
    <x v="4"/>
    <x v="2"/>
  </r>
  <r>
    <n v="462"/>
    <x v="258"/>
    <s v="CUST462"/>
    <x v="0"/>
    <n v="63"/>
    <x v="2"/>
    <n v="4"/>
    <n v="300"/>
    <n v="1200"/>
    <x v="3"/>
    <x v="2"/>
  </r>
  <r>
    <n v="463"/>
    <x v="259"/>
    <s v="CUST463"/>
    <x v="1"/>
    <n v="54"/>
    <x v="0"/>
    <n v="3"/>
    <n v="500"/>
    <n v="1500"/>
    <x v="1"/>
    <x v="3"/>
  </r>
  <r>
    <n v="464"/>
    <x v="2"/>
    <s v="CUST464"/>
    <x v="0"/>
    <n v="38"/>
    <x v="2"/>
    <n v="2"/>
    <n v="300"/>
    <n v="600"/>
    <x v="2"/>
    <x v="1"/>
  </r>
  <r>
    <n v="465"/>
    <x v="128"/>
    <s v="CUST465"/>
    <x v="1"/>
    <n v="43"/>
    <x v="2"/>
    <n v="3"/>
    <n v="50"/>
    <n v="150"/>
    <x v="2"/>
    <x v="2"/>
  </r>
  <r>
    <n v="466"/>
    <x v="248"/>
    <s v="CUST466"/>
    <x v="0"/>
    <n v="63"/>
    <x v="2"/>
    <n v="4"/>
    <n v="25"/>
    <n v="100"/>
    <x v="3"/>
    <x v="3"/>
  </r>
  <r>
    <n v="467"/>
    <x v="184"/>
    <s v="CUST467"/>
    <x v="1"/>
    <n v="53"/>
    <x v="2"/>
    <n v="3"/>
    <n v="50"/>
    <n v="150"/>
    <x v="1"/>
    <x v="3"/>
  </r>
  <r>
    <n v="468"/>
    <x v="174"/>
    <s v="CUST468"/>
    <x v="0"/>
    <n v="40"/>
    <x v="2"/>
    <n v="1"/>
    <n v="25"/>
    <n v="25"/>
    <x v="2"/>
    <x v="1"/>
  </r>
  <r>
    <n v="469"/>
    <x v="193"/>
    <s v="CUST469"/>
    <x v="0"/>
    <n v="18"/>
    <x v="0"/>
    <n v="3"/>
    <n v="25"/>
    <n v="75"/>
    <x v="4"/>
    <x v="2"/>
  </r>
  <r>
    <n v="470"/>
    <x v="71"/>
    <s v="CUST470"/>
    <x v="1"/>
    <n v="57"/>
    <x v="1"/>
    <n v="2"/>
    <n v="500"/>
    <n v="1000"/>
    <x v="3"/>
    <x v="2"/>
  </r>
  <r>
    <n v="471"/>
    <x v="31"/>
    <s v="CUST471"/>
    <x v="0"/>
    <n v="32"/>
    <x v="1"/>
    <n v="3"/>
    <n v="50"/>
    <n v="150"/>
    <x v="0"/>
    <x v="2"/>
  </r>
  <r>
    <n v="472"/>
    <x v="24"/>
    <s v="CUST472"/>
    <x v="1"/>
    <n v="38"/>
    <x v="0"/>
    <n v="3"/>
    <n v="300"/>
    <n v="900"/>
    <x v="2"/>
    <x v="1"/>
  </r>
  <r>
    <n v="473"/>
    <x v="192"/>
    <s v="CUST473"/>
    <x v="0"/>
    <n v="64"/>
    <x v="0"/>
    <n v="1"/>
    <n v="50"/>
    <n v="50"/>
    <x v="3"/>
    <x v="1"/>
  </r>
  <r>
    <n v="474"/>
    <x v="116"/>
    <s v="CUST474"/>
    <x v="1"/>
    <n v="26"/>
    <x v="1"/>
    <n v="3"/>
    <n v="500"/>
    <n v="1500"/>
    <x v="0"/>
    <x v="3"/>
  </r>
  <r>
    <n v="475"/>
    <x v="260"/>
    <s v="CUST475"/>
    <x v="0"/>
    <n v="26"/>
    <x v="1"/>
    <n v="3"/>
    <n v="25"/>
    <n v="75"/>
    <x v="0"/>
    <x v="1"/>
  </r>
  <r>
    <n v="476"/>
    <x v="261"/>
    <s v="CUST476"/>
    <x v="1"/>
    <n v="27"/>
    <x v="1"/>
    <n v="4"/>
    <n v="500"/>
    <n v="2000"/>
    <x v="0"/>
    <x v="3"/>
  </r>
  <r>
    <n v="477"/>
    <x v="262"/>
    <s v="CUST477"/>
    <x v="0"/>
    <n v="43"/>
    <x v="1"/>
    <n v="4"/>
    <n v="30"/>
    <n v="120"/>
    <x v="2"/>
    <x v="2"/>
  </r>
  <r>
    <n v="478"/>
    <x v="157"/>
    <s v="CUST478"/>
    <x v="1"/>
    <n v="58"/>
    <x v="1"/>
    <n v="2"/>
    <n v="30"/>
    <n v="60"/>
    <x v="3"/>
    <x v="2"/>
  </r>
  <r>
    <n v="479"/>
    <x v="44"/>
    <s v="CUST479"/>
    <x v="0"/>
    <n v="52"/>
    <x v="2"/>
    <n v="4"/>
    <n v="300"/>
    <n v="1200"/>
    <x v="1"/>
    <x v="3"/>
  </r>
  <r>
    <n v="480"/>
    <x v="263"/>
    <s v="CUST480"/>
    <x v="1"/>
    <n v="42"/>
    <x v="0"/>
    <n v="4"/>
    <n v="500"/>
    <n v="2000"/>
    <x v="2"/>
    <x v="3"/>
  </r>
  <r>
    <n v="481"/>
    <x v="264"/>
    <s v="CUST481"/>
    <x v="1"/>
    <n v="43"/>
    <x v="2"/>
    <n v="4"/>
    <n v="300"/>
    <n v="1200"/>
    <x v="2"/>
    <x v="3"/>
  </r>
  <r>
    <n v="482"/>
    <x v="60"/>
    <s v="CUST482"/>
    <x v="1"/>
    <n v="28"/>
    <x v="1"/>
    <n v="4"/>
    <n v="300"/>
    <n v="1200"/>
    <x v="0"/>
    <x v="2"/>
  </r>
  <r>
    <n v="483"/>
    <x v="5"/>
    <s v="CUST483"/>
    <x v="0"/>
    <n v="55"/>
    <x v="1"/>
    <n v="1"/>
    <n v="30"/>
    <n v="30"/>
    <x v="3"/>
    <x v="2"/>
  </r>
  <r>
    <n v="484"/>
    <x v="2"/>
    <s v="CUST484"/>
    <x v="1"/>
    <n v="19"/>
    <x v="1"/>
    <n v="4"/>
    <n v="300"/>
    <n v="1200"/>
    <x v="4"/>
    <x v="1"/>
  </r>
  <r>
    <n v="485"/>
    <x v="151"/>
    <s v="CUST485"/>
    <x v="0"/>
    <n v="24"/>
    <x v="2"/>
    <n v="1"/>
    <n v="30"/>
    <n v="30"/>
    <x v="4"/>
    <x v="1"/>
  </r>
  <r>
    <n v="486"/>
    <x v="55"/>
    <s v="CUST486"/>
    <x v="1"/>
    <n v="35"/>
    <x v="2"/>
    <n v="1"/>
    <n v="25"/>
    <n v="25"/>
    <x v="2"/>
    <x v="2"/>
  </r>
  <r>
    <n v="487"/>
    <x v="104"/>
    <s v="CUST487"/>
    <x v="0"/>
    <n v="44"/>
    <x v="1"/>
    <n v="4"/>
    <n v="500"/>
    <n v="2000"/>
    <x v="2"/>
    <x v="3"/>
  </r>
  <r>
    <n v="488"/>
    <x v="265"/>
    <s v="CUST488"/>
    <x v="1"/>
    <n v="51"/>
    <x v="2"/>
    <n v="3"/>
    <n v="300"/>
    <n v="900"/>
    <x v="1"/>
    <x v="3"/>
  </r>
  <r>
    <n v="489"/>
    <x v="29"/>
    <s v="CUST489"/>
    <x v="0"/>
    <n v="44"/>
    <x v="2"/>
    <n v="1"/>
    <n v="30"/>
    <n v="30"/>
    <x v="2"/>
    <x v="2"/>
  </r>
  <r>
    <n v="490"/>
    <x v="57"/>
    <s v="CUST490"/>
    <x v="0"/>
    <n v="34"/>
    <x v="1"/>
    <n v="3"/>
    <n v="50"/>
    <n v="150"/>
    <x v="0"/>
    <x v="1"/>
  </r>
  <r>
    <n v="491"/>
    <x v="29"/>
    <s v="CUST491"/>
    <x v="1"/>
    <n v="60"/>
    <x v="2"/>
    <n v="3"/>
    <n v="300"/>
    <n v="900"/>
    <x v="3"/>
    <x v="2"/>
  </r>
  <r>
    <n v="492"/>
    <x v="263"/>
    <s v="CUST492"/>
    <x v="0"/>
    <n v="61"/>
    <x v="0"/>
    <n v="4"/>
    <n v="25"/>
    <n v="100"/>
    <x v="3"/>
    <x v="3"/>
  </r>
  <r>
    <n v="493"/>
    <x v="123"/>
    <s v="CUST493"/>
    <x v="0"/>
    <n v="41"/>
    <x v="0"/>
    <n v="2"/>
    <n v="25"/>
    <n v="50"/>
    <x v="2"/>
    <x v="0"/>
  </r>
  <r>
    <n v="494"/>
    <x v="106"/>
    <s v="CUST494"/>
    <x v="1"/>
    <n v="42"/>
    <x v="0"/>
    <n v="4"/>
    <n v="50"/>
    <n v="200"/>
    <x v="2"/>
    <x v="0"/>
  </r>
  <r>
    <n v="495"/>
    <x v="104"/>
    <s v="CUST495"/>
    <x v="0"/>
    <n v="24"/>
    <x v="0"/>
    <n v="2"/>
    <n v="30"/>
    <n v="60"/>
    <x v="4"/>
    <x v="3"/>
  </r>
  <r>
    <n v="496"/>
    <x v="266"/>
    <s v="CUST496"/>
    <x v="0"/>
    <n v="23"/>
    <x v="1"/>
    <n v="2"/>
    <n v="300"/>
    <n v="600"/>
    <x v="4"/>
    <x v="1"/>
  </r>
  <r>
    <n v="497"/>
    <x v="45"/>
    <s v="CUST497"/>
    <x v="0"/>
    <n v="41"/>
    <x v="1"/>
    <n v="4"/>
    <n v="30"/>
    <n v="120"/>
    <x v="2"/>
    <x v="0"/>
  </r>
  <r>
    <n v="498"/>
    <x v="171"/>
    <s v="CUST498"/>
    <x v="1"/>
    <n v="50"/>
    <x v="1"/>
    <n v="4"/>
    <n v="25"/>
    <n v="100"/>
    <x v="1"/>
    <x v="3"/>
  </r>
  <r>
    <n v="499"/>
    <x v="267"/>
    <s v="CUST499"/>
    <x v="0"/>
    <n v="46"/>
    <x v="0"/>
    <n v="2"/>
    <n v="30"/>
    <n v="60"/>
    <x v="1"/>
    <x v="1"/>
  </r>
  <r>
    <n v="500"/>
    <x v="240"/>
    <s v="CUST500"/>
    <x v="1"/>
    <n v="60"/>
    <x v="0"/>
    <n v="4"/>
    <n v="25"/>
    <n v="100"/>
    <x v="3"/>
    <x v="2"/>
  </r>
  <r>
    <n v="501"/>
    <x v="224"/>
    <s v="CUST501"/>
    <x v="0"/>
    <n v="39"/>
    <x v="2"/>
    <n v="2"/>
    <n v="30"/>
    <n v="60"/>
    <x v="2"/>
    <x v="2"/>
  </r>
  <r>
    <n v="502"/>
    <x v="128"/>
    <s v="CUST502"/>
    <x v="0"/>
    <n v="43"/>
    <x v="2"/>
    <n v="3"/>
    <n v="50"/>
    <n v="150"/>
    <x v="2"/>
    <x v="2"/>
  </r>
  <r>
    <n v="503"/>
    <x v="268"/>
    <s v="CUST503"/>
    <x v="0"/>
    <n v="45"/>
    <x v="0"/>
    <n v="4"/>
    <n v="500"/>
    <n v="2000"/>
    <x v="1"/>
    <x v="0"/>
  </r>
  <r>
    <n v="504"/>
    <x v="42"/>
    <s v="CUST504"/>
    <x v="1"/>
    <n v="38"/>
    <x v="0"/>
    <n v="3"/>
    <n v="50"/>
    <n v="150"/>
    <x v="2"/>
    <x v="2"/>
  </r>
  <r>
    <n v="505"/>
    <x v="260"/>
    <s v="CUST505"/>
    <x v="0"/>
    <n v="24"/>
    <x v="0"/>
    <n v="1"/>
    <n v="50"/>
    <n v="50"/>
    <x v="4"/>
    <x v="1"/>
  </r>
  <r>
    <n v="506"/>
    <x v="192"/>
    <s v="CUST506"/>
    <x v="0"/>
    <n v="34"/>
    <x v="0"/>
    <n v="3"/>
    <n v="500"/>
    <n v="1500"/>
    <x v="0"/>
    <x v="1"/>
  </r>
  <r>
    <n v="507"/>
    <x v="113"/>
    <s v="CUST507"/>
    <x v="1"/>
    <n v="37"/>
    <x v="2"/>
    <n v="3"/>
    <n v="500"/>
    <n v="1500"/>
    <x v="2"/>
    <x v="0"/>
  </r>
  <r>
    <n v="508"/>
    <x v="124"/>
    <s v="CUST508"/>
    <x v="0"/>
    <n v="58"/>
    <x v="0"/>
    <n v="2"/>
    <n v="300"/>
    <n v="600"/>
    <x v="3"/>
    <x v="3"/>
  </r>
  <r>
    <n v="509"/>
    <x v="40"/>
    <s v="CUST509"/>
    <x v="1"/>
    <n v="37"/>
    <x v="2"/>
    <n v="3"/>
    <n v="300"/>
    <n v="900"/>
    <x v="2"/>
    <x v="3"/>
  </r>
  <r>
    <n v="510"/>
    <x v="210"/>
    <s v="CUST510"/>
    <x v="1"/>
    <n v="39"/>
    <x v="0"/>
    <n v="4"/>
    <n v="50"/>
    <n v="200"/>
    <x v="2"/>
    <x v="3"/>
  </r>
  <r>
    <n v="511"/>
    <x v="269"/>
    <s v="CUST511"/>
    <x v="0"/>
    <n v="45"/>
    <x v="0"/>
    <n v="2"/>
    <n v="50"/>
    <n v="100"/>
    <x v="1"/>
    <x v="3"/>
  </r>
  <r>
    <n v="512"/>
    <x v="155"/>
    <s v="CUST512"/>
    <x v="1"/>
    <n v="57"/>
    <x v="0"/>
    <n v="1"/>
    <n v="25"/>
    <n v="25"/>
    <x v="3"/>
    <x v="0"/>
  </r>
  <r>
    <n v="513"/>
    <x v="270"/>
    <s v="CUST513"/>
    <x v="0"/>
    <n v="24"/>
    <x v="2"/>
    <n v="4"/>
    <n v="25"/>
    <n v="100"/>
    <x v="4"/>
    <x v="0"/>
  </r>
  <r>
    <n v="514"/>
    <x v="240"/>
    <s v="CUST514"/>
    <x v="1"/>
    <n v="18"/>
    <x v="2"/>
    <n v="1"/>
    <n v="300"/>
    <n v="300"/>
    <x v="4"/>
    <x v="2"/>
  </r>
  <r>
    <n v="515"/>
    <x v="115"/>
    <s v="CUST515"/>
    <x v="1"/>
    <n v="49"/>
    <x v="1"/>
    <n v="3"/>
    <n v="300"/>
    <n v="900"/>
    <x v="1"/>
    <x v="3"/>
  </r>
  <r>
    <n v="516"/>
    <x v="54"/>
    <s v="CUST516"/>
    <x v="0"/>
    <n v="30"/>
    <x v="0"/>
    <n v="4"/>
    <n v="25"/>
    <n v="100"/>
    <x v="0"/>
    <x v="0"/>
  </r>
  <r>
    <n v="517"/>
    <x v="181"/>
    <s v="CUST517"/>
    <x v="1"/>
    <n v="47"/>
    <x v="1"/>
    <n v="4"/>
    <n v="25"/>
    <n v="100"/>
    <x v="1"/>
    <x v="2"/>
  </r>
  <r>
    <n v="518"/>
    <x v="271"/>
    <s v="CUST518"/>
    <x v="1"/>
    <n v="40"/>
    <x v="1"/>
    <n v="1"/>
    <n v="30"/>
    <n v="30"/>
    <x v="2"/>
    <x v="2"/>
  </r>
  <r>
    <n v="519"/>
    <x v="43"/>
    <s v="CUST519"/>
    <x v="1"/>
    <n v="36"/>
    <x v="2"/>
    <n v="4"/>
    <n v="30"/>
    <n v="120"/>
    <x v="2"/>
    <x v="1"/>
  </r>
  <r>
    <n v="520"/>
    <x v="167"/>
    <s v="CUST520"/>
    <x v="1"/>
    <n v="49"/>
    <x v="2"/>
    <n v="4"/>
    <n v="25"/>
    <n v="100"/>
    <x v="1"/>
    <x v="1"/>
  </r>
  <r>
    <n v="521"/>
    <x v="269"/>
    <s v="CUST521"/>
    <x v="1"/>
    <n v="47"/>
    <x v="1"/>
    <n v="4"/>
    <n v="30"/>
    <n v="120"/>
    <x v="1"/>
    <x v="3"/>
  </r>
  <r>
    <n v="522"/>
    <x v="137"/>
    <s v="CUST522"/>
    <x v="0"/>
    <n v="46"/>
    <x v="0"/>
    <n v="3"/>
    <n v="500"/>
    <n v="1500"/>
    <x v="1"/>
    <x v="1"/>
  </r>
  <r>
    <n v="523"/>
    <x v="272"/>
    <s v="CUST523"/>
    <x v="1"/>
    <n v="62"/>
    <x v="2"/>
    <n v="1"/>
    <n v="300"/>
    <n v="300"/>
    <x v="3"/>
    <x v="0"/>
  </r>
  <r>
    <n v="524"/>
    <x v="99"/>
    <s v="CUST524"/>
    <x v="0"/>
    <n v="46"/>
    <x v="0"/>
    <n v="4"/>
    <n v="300"/>
    <n v="1200"/>
    <x v="1"/>
    <x v="0"/>
  </r>
  <r>
    <n v="525"/>
    <x v="244"/>
    <s v="CUST525"/>
    <x v="1"/>
    <n v="47"/>
    <x v="0"/>
    <n v="2"/>
    <n v="25"/>
    <n v="50"/>
    <x v="1"/>
    <x v="1"/>
  </r>
  <r>
    <n v="526"/>
    <x v="70"/>
    <s v="CUST526"/>
    <x v="0"/>
    <n v="33"/>
    <x v="1"/>
    <n v="2"/>
    <n v="50"/>
    <n v="100"/>
    <x v="0"/>
    <x v="1"/>
  </r>
  <r>
    <n v="527"/>
    <x v="273"/>
    <s v="CUST527"/>
    <x v="0"/>
    <n v="57"/>
    <x v="1"/>
    <n v="2"/>
    <n v="25"/>
    <n v="50"/>
    <x v="3"/>
    <x v="2"/>
  </r>
  <r>
    <n v="528"/>
    <x v="65"/>
    <s v="CUST528"/>
    <x v="1"/>
    <n v="36"/>
    <x v="1"/>
    <n v="2"/>
    <n v="30"/>
    <n v="60"/>
    <x v="2"/>
    <x v="3"/>
  </r>
  <r>
    <n v="529"/>
    <x v="183"/>
    <s v="CUST529"/>
    <x v="1"/>
    <n v="35"/>
    <x v="1"/>
    <n v="3"/>
    <n v="50"/>
    <n v="150"/>
    <x v="2"/>
    <x v="3"/>
  </r>
  <r>
    <n v="530"/>
    <x v="57"/>
    <s v="CUST530"/>
    <x v="1"/>
    <n v="18"/>
    <x v="2"/>
    <n v="4"/>
    <n v="30"/>
    <n v="120"/>
    <x v="4"/>
    <x v="1"/>
  </r>
  <r>
    <n v="531"/>
    <x v="274"/>
    <s v="CUST531"/>
    <x v="0"/>
    <n v="31"/>
    <x v="2"/>
    <n v="1"/>
    <n v="500"/>
    <n v="500"/>
    <x v="0"/>
    <x v="1"/>
  </r>
  <r>
    <n v="532"/>
    <x v="171"/>
    <s v="CUST532"/>
    <x v="1"/>
    <n v="64"/>
    <x v="1"/>
    <n v="4"/>
    <n v="30"/>
    <n v="120"/>
    <x v="3"/>
    <x v="3"/>
  </r>
  <r>
    <n v="533"/>
    <x v="275"/>
    <s v="CUST533"/>
    <x v="0"/>
    <n v="19"/>
    <x v="2"/>
    <n v="3"/>
    <n v="500"/>
    <n v="1500"/>
    <x v="4"/>
    <x v="0"/>
  </r>
  <r>
    <n v="534"/>
    <x v="210"/>
    <s v="CUST534"/>
    <x v="0"/>
    <n v="45"/>
    <x v="1"/>
    <n v="2"/>
    <n v="500"/>
    <n v="1000"/>
    <x v="1"/>
    <x v="3"/>
  </r>
  <r>
    <n v="535"/>
    <x v="237"/>
    <s v="CUST535"/>
    <x v="0"/>
    <n v="47"/>
    <x v="0"/>
    <n v="3"/>
    <n v="30"/>
    <n v="90"/>
    <x v="1"/>
    <x v="1"/>
  </r>
  <r>
    <n v="536"/>
    <x v="46"/>
    <s v="CUST536"/>
    <x v="1"/>
    <n v="55"/>
    <x v="0"/>
    <n v="4"/>
    <n v="30"/>
    <n v="120"/>
    <x v="3"/>
    <x v="2"/>
  </r>
  <r>
    <n v="537"/>
    <x v="226"/>
    <s v="CUST537"/>
    <x v="1"/>
    <n v="21"/>
    <x v="0"/>
    <n v="1"/>
    <n v="500"/>
    <n v="500"/>
    <x v="4"/>
    <x v="3"/>
  </r>
  <r>
    <n v="538"/>
    <x v="129"/>
    <s v="CUST538"/>
    <x v="0"/>
    <n v="18"/>
    <x v="1"/>
    <n v="3"/>
    <n v="50"/>
    <n v="150"/>
    <x v="4"/>
    <x v="0"/>
  </r>
  <r>
    <n v="539"/>
    <x v="276"/>
    <s v="CUST539"/>
    <x v="0"/>
    <n v="25"/>
    <x v="0"/>
    <n v="1"/>
    <n v="500"/>
    <n v="500"/>
    <x v="0"/>
    <x v="3"/>
  </r>
  <r>
    <n v="540"/>
    <x v="236"/>
    <s v="CUST540"/>
    <x v="1"/>
    <n v="46"/>
    <x v="2"/>
    <n v="3"/>
    <n v="300"/>
    <n v="900"/>
    <x v="1"/>
    <x v="1"/>
  </r>
  <r>
    <n v="541"/>
    <x v="277"/>
    <s v="CUST541"/>
    <x v="0"/>
    <n v="56"/>
    <x v="0"/>
    <n v="1"/>
    <n v="500"/>
    <n v="500"/>
    <x v="3"/>
    <x v="3"/>
  </r>
  <r>
    <n v="542"/>
    <x v="278"/>
    <s v="CUST542"/>
    <x v="1"/>
    <n v="20"/>
    <x v="0"/>
    <n v="1"/>
    <n v="50"/>
    <n v="50"/>
    <x v="4"/>
    <x v="3"/>
  </r>
  <r>
    <n v="543"/>
    <x v="191"/>
    <s v="CUST543"/>
    <x v="0"/>
    <n v="49"/>
    <x v="0"/>
    <n v="2"/>
    <n v="300"/>
    <n v="600"/>
    <x v="1"/>
    <x v="3"/>
  </r>
  <r>
    <n v="544"/>
    <x v="204"/>
    <s v="CUST544"/>
    <x v="1"/>
    <n v="27"/>
    <x v="2"/>
    <n v="1"/>
    <n v="25"/>
    <n v="25"/>
    <x v="0"/>
    <x v="1"/>
  </r>
  <r>
    <n v="545"/>
    <x v="207"/>
    <s v="CUST545"/>
    <x v="0"/>
    <n v="27"/>
    <x v="1"/>
    <n v="2"/>
    <n v="25"/>
    <n v="50"/>
    <x v="0"/>
    <x v="3"/>
  </r>
  <r>
    <n v="546"/>
    <x v="120"/>
    <s v="CUST546"/>
    <x v="1"/>
    <n v="36"/>
    <x v="2"/>
    <n v="4"/>
    <n v="50"/>
    <n v="200"/>
    <x v="2"/>
    <x v="0"/>
  </r>
  <r>
    <n v="547"/>
    <x v="150"/>
    <s v="CUST547"/>
    <x v="0"/>
    <n v="63"/>
    <x v="1"/>
    <n v="4"/>
    <n v="500"/>
    <n v="2000"/>
    <x v="3"/>
    <x v="2"/>
  </r>
  <r>
    <n v="548"/>
    <x v="55"/>
    <s v="CUST548"/>
    <x v="1"/>
    <n v="51"/>
    <x v="1"/>
    <n v="2"/>
    <n v="30"/>
    <n v="60"/>
    <x v="1"/>
    <x v="2"/>
  </r>
  <r>
    <n v="549"/>
    <x v="279"/>
    <s v="CUST549"/>
    <x v="1"/>
    <n v="50"/>
    <x v="0"/>
    <n v="2"/>
    <n v="50"/>
    <n v="100"/>
    <x v="1"/>
    <x v="3"/>
  </r>
  <r>
    <n v="550"/>
    <x v="274"/>
    <s v="CUST550"/>
    <x v="0"/>
    <n v="40"/>
    <x v="1"/>
    <n v="3"/>
    <n v="300"/>
    <n v="900"/>
    <x v="2"/>
    <x v="1"/>
  </r>
  <r>
    <n v="551"/>
    <x v="37"/>
    <s v="CUST551"/>
    <x v="0"/>
    <n v="45"/>
    <x v="2"/>
    <n v="3"/>
    <n v="300"/>
    <n v="900"/>
    <x v="1"/>
    <x v="3"/>
  </r>
  <r>
    <n v="552"/>
    <x v="8"/>
    <s v="CUST552"/>
    <x v="1"/>
    <n v="49"/>
    <x v="2"/>
    <n v="3"/>
    <n v="25"/>
    <n v="75"/>
    <x v="1"/>
    <x v="1"/>
  </r>
  <r>
    <n v="553"/>
    <x v="280"/>
    <s v="CUST553"/>
    <x v="0"/>
    <n v="24"/>
    <x v="1"/>
    <n v="4"/>
    <n v="300"/>
    <n v="1200"/>
    <x v="4"/>
    <x v="2"/>
  </r>
  <r>
    <n v="554"/>
    <x v="281"/>
    <s v="CUST554"/>
    <x v="1"/>
    <n v="46"/>
    <x v="0"/>
    <n v="3"/>
    <n v="50"/>
    <n v="150"/>
    <x v="1"/>
    <x v="0"/>
  </r>
  <r>
    <n v="555"/>
    <x v="218"/>
    <s v="CUST555"/>
    <x v="0"/>
    <n v="25"/>
    <x v="0"/>
    <n v="1"/>
    <n v="300"/>
    <n v="300"/>
    <x v="0"/>
    <x v="0"/>
  </r>
  <r>
    <n v="556"/>
    <x v="234"/>
    <s v="CUST556"/>
    <x v="1"/>
    <n v="18"/>
    <x v="2"/>
    <n v="1"/>
    <n v="50"/>
    <n v="50"/>
    <x v="4"/>
    <x v="3"/>
  </r>
  <r>
    <n v="557"/>
    <x v="282"/>
    <s v="CUST557"/>
    <x v="1"/>
    <n v="20"/>
    <x v="0"/>
    <n v="3"/>
    <n v="30"/>
    <n v="90"/>
    <x v="4"/>
    <x v="3"/>
  </r>
  <r>
    <n v="558"/>
    <x v="283"/>
    <s v="CUST558"/>
    <x v="1"/>
    <n v="41"/>
    <x v="1"/>
    <n v="1"/>
    <n v="25"/>
    <n v="25"/>
    <x v="2"/>
    <x v="0"/>
  </r>
  <r>
    <n v="559"/>
    <x v="137"/>
    <s v="CUST559"/>
    <x v="1"/>
    <n v="40"/>
    <x v="1"/>
    <n v="4"/>
    <n v="300"/>
    <n v="1200"/>
    <x v="2"/>
    <x v="1"/>
  </r>
  <r>
    <n v="560"/>
    <x v="284"/>
    <s v="CUST560"/>
    <x v="1"/>
    <n v="25"/>
    <x v="2"/>
    <n v="1"/>
    <n v="50"/>
    <n v="50"/>
    <x v="0"/>
    <x v="3"/>
  </r>
  <r>
    <n v="561"/>
    <x v="203"/>
    <s v="CUST561"/>
    <x v="1"/>
    <n v="64"/>
    <x v="1"/>
    <n v="4"/>
    <n v="500"/>
    <n v="2000"/>
    <x v="3"/>
    <x v="2"/>
  </r>
  <r>
    <n v="562"/>
    <x v="69"/>
    <s v="CUST562"/>
    <x v="0"/>
    <n v="54"/>
    <x v="2"/>
    <n v="2"/>
    <n v="25"/>
    <n v="50"/>
    <x v="1"/>
    <x v="2"/>
  </r>
  <r>
    <n v="563"/>
    <x v="183"/>
    <s v="CUST563"/>
    <x v="0"/>
    <n v="20"/>
    <x v="1"/>
    <n v="2"/>
    <n v="30"/>
    <n v="60"/>
    <x v="4"/>
    <x v="3"/>
  </r>
  <r>
    <n v="564"/>
    <x v="208"/>
    <s v="CUST564"/>
    <x v="0"/>
    <n v="50"/>
    <x v="2"/>
    <n v="2"/>
    <n v="50"/>
    <n v="100"/>
    <x v="1"/>
    <x v="0"/>
  </r>
  <r>
    <n v="565"/>
    <x v="155"/>
    <s v="CUST565"/>
    <x v="1"/>
    <n v="45"/>
    <x v="0"/>
    <n v="2"/>
    <n v="30"/>
    <n v="60"/>
    <x v="1"/>
    <x v="0"/>
  </r>
  <r>
    <n v="566"/>
    <x v="92"/>
    <s v="CUST566"/>
    <x v="1"/>
    <n v="64"/>
    <x v="1"/>
    <n v="1"/>
    <n v="30"/>
    <n v="30"/>
    <x v="3"/>
    <x v="1"/>
  </r>
  <r>
    <n v="567"/>
    <x v="285"/>
    <s v="CUST567"/>
    <x v="1"/>
    <n v="25"/>
    <x v="1"/>
    <n v="3"/>
    <n v="300"/>
    <n v="900"/>
    <x v="0"/>
    <x v="3"/>
  </r>
  <r>
    <n v="568"/>
    <x v="286"/>
    <s v="CUST568"/>
    <x v="1"/>
    <n v="51"/>
    <x v="2"/>
    <n v="1"/>
    <n v="300"/>
    <n v="300"/>
    <x v="1"/>
    <x v="3"/>
  </r>
  <r>
    <n v="569"/>
    <x v="196"/>
    <s v="CUST569"/>
    <x v="0"/>
    <n v="52"/>
    <x v="2"/>
    <n v="4"/>
    <n v="50"/>
    <n v="200"/>
    <x v="1"/>
    <x v="3"/>
  </r>
  <r>
    <n v="570"/>
    <x v="196"/>
    <s v="CUST570"/>
    <x v="0"/>
    <n v="49"/>
    <x v="1"/>
    <n v="1"/>
    <n v="500"/>
    <n v="500"/>
    <x v="1"/>
    <x v="3"/>
  </r>
  <r>
    <n v="571"/>
    <x v="216"/>
    <s v="CUST571"/>
    <x v="1"/>
    <n v="41"/>
    <x v="2"/>
    <n v="1"/>
    <n v="50"/>
    <n v="50"/>
    <x v="2"/>
    <x v="1"/>
  </r>
  <r>
    <n v="572"/>
    <x v="175"/>
    <s v="CUST572"/>
    <x v="0"/>
    <n v="31"/>
    <x v="1"/>
    <n v="4"/>
    <n v="500"/>
    <n v="2000"/>
    <x v="0"/>
    <x v="2"/>
  </r>
  <r>
    <n v="573"/>
    <x v="270"/>
    <s v="CUST573"/>
    <x v="0"/>
    <n v="49"/>
    <x v="0"/>
    <n v="2"/>
    <n v="30"/>
    <n v="60"/>
    <x v="1"/>
    <x v="0"/>
  </r>
  <r>
    <n v="574"/>
    <x v="178"/>
    <s v="CUST574"/>
    <x v="1"/>
    <n v="63"/>
    <x v="2"/>
    <n v="2"/>
    <n v="25"/>
    <n v="50"/>
    <x v="3"/>
    <x v="3"/>
  </r>
  <r>
    <n v="575"/>
    <x v="287"/>
    <s v="CUST575"/>
    <x v="0"/>
    <n v="60"/>
    <x v="1"/>
    <n v="2"/>
    <n v="50"/>
    <n v="100"/>
    <x v="3"/>
    <x v="2"/>
  </r>
  <r>
    <n v="576"/>
    <x v="151"/>
    <s v="CUST576"/>
    <x v="1"/>
    <n v="33"/>
    <x v="0"/>
    <n v="3"/>
    <n v="50"/>
    <n v="150"/>
    <x v="0"/>
    <x v="1"/>
  </r>
  <r>
    <n v="577"/>
    <x v="146"/>
    <s v="CUST577"/>
    <x v="0"/>
    <n v="21"/>
    <x v="0"/>
    <n v="4"/>
    <n v="500"/>
    <n v="2000"/>
    <x v="4"/>
    <x v="1"/>
  </r>
  <r>
    <n v="578"/>
    <x v="232"/>
    <s v="CUST578"/>
    <x v="1"/>
    <n v="54"/>
    <x v="1"/>
    <n v="4"/>
    <n v="30"/>
    <n v="120"/>
    <x v="1"/>
    <x v="2"/>
  </r>
  <r>
    <n v="579"/>
    <x v="172"/>
    <s v="CUST579"/>
    <x v="1"/>
    <n v="38"/>
    <x v="2"/>
    <n v="1"/>
    <n v="30"/>
    <n v="30"/>
    <x v="2"/>
    <x v="0"/>
  </r>
  <r>
    <n v="580"/>
    <x v="237"/>
    <s v="CUST580"/>
    <x v="1"/>
    <n v="31"/>
    <x v="1"/>
    <n v="3"/>
    <n v="500"/>
    <n v="1500"/>
    <x v="0"/>
    <x v="1"/>
  </r>
  <r>
    <n v="581"/>
    <x v="245"/>
    <s v="CUST581"/>
    <x v="1"/>
    <n v="48"/>
    <x v="0"/>
    <n v="2"/>
    <n v="30"/>
    <n v="60"/>
    <x v="1"/>
    <x v="0"/>
  </r>
  <r>
    <n v="582"/>
    <x v="220"/>
    <s v="CUST582"/>
    <x v="0"/>
    <n v="35"/>
    <x v="1"/>
    <n v="3"/>
    <n v="300"/>
    <n v="900"/>
    <x v="2"/>
    <x v="0"/>
  </r>
  <r>
    <n v="583"/>
    <x v="288"/>
    <s v="CUST583"/>
    <x v="1"/>
    <n v="24"/>
    <x v="2"/>
    <n v="4"/>
    <n v="25"/>
    <n v="100"/>
    <x v="4"/>
    <x v="3"/>
  </r>
  <r>
    <n v="584"/>
    <x v="15"/>
    <s v="CUST584"/>
    <x v="1"/>
    <n v="27"/>
    <x v="0"/>
    <n v="4"/>
    <n v="50"/>
    <n v="200"/>
    <x v="0"/>
    <x v="1"/>
  </r>
  <r>
    <n v="585"/>
    <x v="217"/>
    <s v="CUST585"/>
    <x v="1"/>
    <n v="24"/>
    <x v="1"/>
    <n v="1"/>
    <n v="25"/>
    <n v="25"/>
    <x v="4"/>
    <x v="2"/>
  </r>
  <r>
    <n v="586"/>
    <x v="186"/>
    <s v="CUST586"/>
    <x v="0"/>
    <n v="50"/>
    <x v="2"/>
    <n v="1"/>
    <n v="50"/>
    <n v="50"/>
    <x v="1"/>
    <x v="1"/>
  </r>
  <r>
    <n v="587"/>
    <x v="276"/>
    <s v="CUST587"/>
    <x v="1"/>
    <n v="40"/>
    <x v="0"/>
    <n v="4"/>
    <n v="300"/>
    <n v="1200"/>
    <x v="2"/>
    <x v="3"/>
  </r>
  <r>
    <n v="588"/>
    <x v="164"/>
    <s v="CUST588"/>
    <x v="0"/>
    <n v="38"/>
    <x v="2"/>
    <n v="2"/>
    <n v="30"/>
    <n v="60"/>
    <x v="2"/>
    <x v="2"/>
  </r>
  <r>
    <n v="589"/>
    <x v="22"/>
    <s v="CUST589"/>
    <x v="1"/>
    <n v="36"/>
    <x v="0"/>
    <n v="2"/>
    <n v="500"/>
    <n v="1000"/>
    <x v="2"/>
    <x v="2"/>
  </r>
  <r>
    <n v="590"/>
    <x v="255"/>
    <s v="CUST590"/>
    <x v="0"/>
    <n v="36"/>
    <x v="1"/>
    <n v="3"/>
    <n v="300"/>
    <n v="900"/>
    <x v="2"/>
    <x v="2"/>
  </r>
  <r>
    <n v="591"/>
    <x v="2"/>
    <s v="CUST591"/>
    <x v="0"/>
    <n v="53"/>
    <x v="2"/>
    <n v="4"/>
    <n v="25"/>
    <n v="100"/>
    <x v="1"/>
    <x v="1"/>
  </r>
  <r>
    <n v="592"/>
    <x v="58"/>
    <s v="CUST592"/>
    <x v="1"/>
    <n v="46"/>
    <x v="0"/>
    <n v="4"/>
    <n v="500"/>
    <n v="2000"/>
    <x v="1"/>
    <x v="1"/>
  </r>
  <r>
    <n v="593"/>
    <x v="4"/>
    <s v="CUST593"/>
    <x v="0"/>
    <n v="35"/>
    <x v="2"/>
    <n v="2"/>
    <n v="30"/>
    <n v="60"/>
    <x v="2"/>
    <x v="2"/>
  </r>
  <r>
    <n v="594"/>
    <x v="152"/>
    <s v="CUST594"/>
    <x v="1"/>
    <n v="19"/>
    <x v="2"/>
    <n v="2"/>
    <n v="300"/>
    <n v="600"/>
    <x v="4"/>
    <x v="0"/>
  </r>
  <r>
    <n v="595"/>
    <x v="289"/>
    <s v="CUST595"/>
    <x v="1"/>
    <n v="18"/>
    <x v="1"/>
    <n v="4"/>
    <n v="500"/>
    <n v="2000"/>
    <x v="4"/>
    <x v="0"/>
  </r>
  <r>
    <n v="596"/>
    <x v="227"/>
    <s v="CUST596"/>
    <x v="1"/>
    <n v="64"/>
    <x v="2"/>
    <n v="1"/>
    <n v="300"/>
    <n v="300"/>
    <x v="3"/>
    <x v="1"/>
  </r>
  <r>
    <n v="597"/>
    <x v="290"/>
    <s v="CUST597"/>
    <x v="0"/>
    <n v="22"/>
    <x v="0"/>
    <n v="4"/>
    <n v="300"/>
    <n v="1200"/>
    <x v="4"/>
    <x v="3"/>
  </r>
  <r>
    <n v="598"/>
    <x v="291"/>
    <s v="CUST598"/>
    <x v="0"/>
    <n v="37"/>
    <x v="0"/>
    <n v="4"/>
    <n v="30"/>
    <n v="120"/>
    <x v="2"/>
    <x v="3"/>
  </r>
  <r>
    <n v="599"/>
    <x v="292"/>
    <s v="CUST599"/>
    <x v="1"/>
    <n v="28"/>
    <x v="0"/>
    <n v="2"/>
    <n v="50"/>
    <n v="100"/>
    <x v="0"/>
    <x v="0"/>
  </r>
  <r>
    <n v="600"/>
    <x v="293"/>
    <s v="CUST600"/>
    <x v="1"/>
    <n v="59"/>
    <x v="0"/>
    <n v="2"/>
    <n v="500"/>
    <n v="1000"/>
    <x v="3"/>
    <x v="0"/>
  </r>
  <r>
    <n v="601"/>
    <x v="294"/>
    <s v="CUST601"/>
    <x v="0"/>
    <n v="19"/>
    <x v="1"/>
    <n v="1"/>
    <n v="30"/>
    <n v="30"/>
    <x v="4"/>
    <x v="2"/>
  </r>
  <r>
    <n v="602"/>
    <x v="204"/>
    <s v="CUST602"/>
    <x v="1"/>
    <n v="20"/>
    <x v="2"/>
    <n v="1"/>
    <n v="300"/>
    <n v="300"/>
    <x v="4"/>
    <x v="1"/>
  </r>
  <r>
    <n v="603"/>
    <x v="295"/>
    <s v="CUST603"/>
    <x v="1"/>
    <n v="40"/>
    <x v="1"/>
    <n v="3"/>
    <n v="30"/>
    <n v="90"/>
    <x v="2"/>
    <x v="3"/>
  </r>
  <r>
    <n v="604"/>
    <x v="296"/>
    <s v="CUST604"/>
    <x v="1"/>
    <n v="29"/>
    <x v="2"/>
    <n v="4"/>
    <n v="50"/>
    <n v="200"/>
    <x v="0"/>
    <x v="0"/>
  </r>
  <r>
    <n v="605"/>
    <x v="104"/>
    <s v="CUST605"/>
    <x v="0"/>
    <n v="37"/>
    <x v="2"/>
    <n v="2"/>
    <n v="500"/>
    <n v="1000"/>
    <x v="2"/>
    <x v="3"/>
  </r>
  <r>
    <n v="606"/>
    <x v="179"/>
    <s v="CUST606"/>
    <x v="0"/>
    <n v="22"/>
    <x v="2"/>
    <n v="1"/>
    <n v="50"/>
    <n v="50"/>
    <x v="4"/>
    <x v="2"/>
  </r>
  <r>
    <n v="607"/>
    <x v="255"/>
    <s v="CUST607"/>
    <x v="0"/>
    <n v="54"/>
    <x v="1"/>
    <n v="3"/>
    <n v="25"/>
    <n v="75"/>
    <x v="1"/>
    <x v="2"/>
  </r>
  <r>
    <n v="608"/>
    <x v="92"/>
    <s v="CUST608"/>
    <x v="1"/>
    <n v="55"/>
    <x v="2"/>
    <n v="3"/>
    <n v="500"/>
    <n v="1500"/>
    <x v="3"/>
    <x v="1"/>
  </r>
  <r>
    <n v="609"/>
    <x v="80"/>
    <s v="CUST609"/>
    <x v="1"/>
    <n v="47"/>
    <x v="1"/>
    <n v="2"/>
    <n v="50"/>
    <n v="100"/>
    <x v="1"/>
    <x v="1"/>
  </r>
  <r>
    <n v="610"/>
    <x v="297"/>
    <s v="CUST610"/>
    <x v="1"/>
    <n v="26"/>
    <x v="0"/>
    <n v="2"/>
    <n v="300"/>
    <n v="600"/>
    <x v="0"/>
    <x v="1"/>
  </r>
  <r>
    <n v="611"/>
    <x v="130"/>
    <s v="CUST611"/>
    <x v="0"/>
    <n v="51"/>
    <x v="0"/>
    <n v="3"/>
    <n v="500"/>
    <n v="1500"/>
    <x v="1"/>
    <x v="1"/>
  </r>
  <r>
    <n v="612"/>
    <x v="298"/>
    <s v="CUST612"/>
    <x v="1"/>
    <n v="61"/>
    <x v="2"/>
    <n v="1"/>
    <n v="500"/>
    <n v="500"/>
    <x v="3"/>
    <x v="3"/>
  </r>
  <r>
    <n v="613"/>
    <x v="26"/>
    <s v="CUST613"/>
    <x v="1"/>
    <n v="52"/>
    <x v="1"/>
    <n v="3"/>
    <n v="30"/>
    <n v="90"/>
    <x v="1"/>
    <x v="2"/>
  </r>
  <r>
    <n v="614"/>
    <x v="258"/>
    <s v="CUST614"/>
    <x v="1"/>
    <n v="39"/>
    <x v="0"/>
    <n v="4"/>
    <n v="300"/>
    <n v="1200"/>
    <x v="2"/>
    <x v="2"/>
  </r>
  <r>
    <n v="615"/>
    <x v="204"/>
    <s v="CUST615"/>
    <x v="1"/>
    <n v="61"/>
    <x v="1"/>
    <n v="4"/>
    <n v="25"/>
    <n v="100"/>
    <x v="3"/>
    <x v="1"/>
  </r>
  <r>
    <n v="616"/>
    <x v="299"/>
    <s v="CUST616"/>
    <x v="0"/>
    <n v="41"/>
    <x v="1"/>
    <n v="2"/>
    <n v="50"/>
    <n v="100"/>
    <x v="2"/>
    <x v="0"/>
  </r>
  <r>
    <n v="617"/>
    <x v="300"/>
    <s v="CUST617"/>
    <x v="0"/>
    <n v="34"/>
    <x v="2"/>
    <n v="1"/>
    <n v="30"/>
    <n v="30"/>
    <x v="0"/>
    <x v="3"/>
  </r>
  <r>
    <n v="618"/>
    <x v="197"/>
    <s v="CUST618"/>
    <x v="1"/>
    <n v="27"/>
    <x v="0"/>
    <n v="1"/>
    <n v="50"/>
    <n v="50"/>
    <x v="0"/>
    <x v="1"/>
  </r>
  <r>
    <n v="619"/>
    <x v="81"/>
    <s v="CUST619"/>
    <x v="0"/>
    <n v="47"/>
    <x v="2"/>
    <n v="4"/>
    <n v="25"/>
    <n v="100"/>
    <x v="1"/>
    <x v="0"/>
  </r>
  <r>
    <n v="620"/>
    <x v="193"/>
    <s v="CUST620"/>
    <x v="0"/>
    <n v="63"/>
    <x v="2"/>
    <n v="3"/>
    <n v="25"/>
    <n v="75"/>
    <x v="3"/>
    <x v="2"/>
  </r>
  <r>
    <n v="621"/>
    <x v="301"/>
    <s v="CUST621"/>
    <x v="1"/>
    <n v="40"/>
    <x v="0"/>
    <n v="2"/>
    <n v="500"/>
    <n v="1000"/>
    <x v="2"/>
    <x v="2"/>
  </r>
  <r>
    <n v="622"/>
    <x v="290"/>
    <s v="CUST622"/>
    <x v="1"/>
    <n v="49"/>
    <x v="0"/>
    <n v="3"/>
    <n v="25"/>
    <n v="75"/>
    <x v="1"/>
    <x v="3"/>
  </r>
  <r>
    <n v="623"/>
    <x v="239"/>
    <s v="CUST623"/>
    <x v="0"/>
    <n v="34"/>
    <x v="1"/>
    <n v="3"/>
    <n v="50"/>
    <n v="150"/>
    <x v="0"/>
    <x v="2"/>
  </r>
  <r>
    <n v="624"/>
    <x v="300"/>
    <s v="CUST624"/>
    <x v="1"/>
    <n v="34"/>
    <x v="0"/>
    <n v="3"/>
    <n v="300"/>
    <n v="900"/>
    <x v="0"/>
    <x v="3"/>
  </r>
  <r>
    <n v="625"/>
    <x v="236"/>
    <s v="CUST625"/>
    <x v="0"/>
    <n v="31"/>
    <x v="1"/>
    <n v="1"/>
    <n v="300"/>
    <n v="300"/>
    <x v="0"/>
    <x v="1"/>
  </r>
  <r>
    <n v="626"/>
    <x v="136"/>
    <s v="CUST626"/>
    <x v="1"/>
    <n v="26"/>
    <x v="1"/>
    <n v="4"/>
    <n v="500"/>
    <n v="2000"/>
    <x v="0"/>
    <x v="0"/>
  </r>
  <r>
    <n v="627"/>
    <x v="257"/>
    <s v="CUST627"/>
    <x v="0"/>
    <n v="57"/>
    <x v="1"/>
    <n v="1"/>
    <n v="50"/>
    <n v="50"/>
    <x v="3"/>
    <x v="0"/>
  </r>
  <r>
    <n v="628"/>
    <x v="215"/>
    <s v="CUST628"/>
    <x v="1"/>
    <n v="19"/>
    <x v="0"/>
    <n v="4"/>
    <n v="50"/>
    <n v="200"/>
    <x v="4"/>
    <x v="0"/>
  </r>
  <r>
    <n v="629"/>
    <x v="302"/>
    <s v="CUST629"/>
    <x v="0"/>
    <n v="62"/>
    <x v="2"/>
    <n v="2"/>
    <n v="25"/>
    <n v="50"/>
    <x v="3"/>
    <x v="3"/>
  </r>
  <r>
    <n v="630"/>
    <x v="196"/>
    <s v="CUST630"/>
    <x v="0"/>
    <n v="42"/>
    <x v="1"/>
    <n v="2"/>
    <n v="50"/>
    <n v="100"/>
    <x v="2"/>
    <x v="3"/>
  </r>
  <r>
    <n v="631"/>
    <x v="235"/>
    <s v="CUST631"/>
    <x v="0"/>
    <n v="56"/>
    <x v="2"/>
    <n v="3"/>
    <n v="30"/>
    <n v="90"/>
    <x v="3"/>
    <x v="0"/>
  </r>
  <r>
    <n v="632"/>
    <x v="18"/>
    <s v="CUST632"/>
    <x v="1"/>
    <n v="26"/>
    <x v="2"/>
    <n v="4"/>
    <n v="25"/>
    <n v="100"/>
    <x v="0"/>
    <x v="0"/>
  </r>
  <r>
    <n v="633"/>
    <x v="252"/>
    <s v="CUST633"/>
    <x v="0"/>
    <n v="39"/>
    <x v="0"/>
    <n v="4"/>
    <n v="30"/>
    <n v="120"/>
    <x v="2"/>
    <x v="3"/>
  </r>
  <r>
    <n v="634"/>
    <x v="283"/>
    <s v="CUST634"/>
    <x v="0"/>
    <n v="60"/>
    <x v="2"/>
    <n v="4"/>
    <n v="500"/>
    <n v="2000"/>
    <x v="3"/>
    <x v="0"/>
  </r>
  <r>
    <n v="635"/>
    <x v="303"/>
    <s v="CUST635"/>
    <x v="1"/>
    <n v="63"/>
    <x v="2"/>
    <n v="3"/>
    <n v="300"/>
    <n v="900"/>
    <x v="3"/>
    <x v="3"/>
  </r>
  <r>
    <n v="636"/>
    <x v="31"/>
    <s v="CUST636"/>
    <x v="1"/>
    <n v="21"/>
    <x v="0"/>
    <n v="3"/>
    <n v="500"/>
    <n v="1500"/>
    <x v="4"/>
    <x v="2"/>
  </r>
  <r>
    <n v="637"/>
    <x v="152"/>
    <s v="CUST637"/>
    <x v="0"/>
    <n v="43"/>
    <x v="1"/>
    <n v="2"/>
    <n v="300"/>
    <n v="600"/>
    <x v="2"/>
    <x v="0"/>
  </r>
  <r>
    <n v="638"/>
    <x v="304"/>
    <s v="CUST638"/>
    <x v="0"/>
    <n v="46"/>
    <x v="2"/>
    <n v="1"/>
    <n v="500"/>
    <n v="500"/>
    <x v="1"/>
    <x v="3"/>
  </r>
  <r>
    <n v="639"/>
    <x v="305"/>
    <s v="CUST639"/>
    <x v="1"/>
    <n v="62"/>
    <x v="0"/>
    <n v="4"/>
    <n v="50"/>
    <n v="200"/>
    <x v="3"/>
    <x v="2"/>
  </r>
  <r>
    <n v="640"/>
    <x v="98"/>
    <s v="CUST640"/>
    <x v="1"/>
    <n v="51"/>
    <x v="2"/>
    <n v="4"/>
    <n v="30"/>
    <n v="120"/>
    <x v="1"/>
    <x v="2"/>
  </r>
  <r>
    <n v="641"/>
    <x v="250"/>
    <s v="CUST641"/>
    <x v="1"/>
    <n v="40"/>
    <x v="2"/>
    <n v="1"/>
    <n v="300"/>
    <n v="300"/>
    <x v="2"/>
    <x v="0"/>
  </r>
  <r>
    <n v="642"/>
    <x v="247"/>
    <s v="CUST642"/>
    <x v="1"/>
    <n v="54"/>
    <x v="1"/>
    <n v="4"/>
    <n v="25"/>
    <n v="100"/>
    <x v="1"/>
    <x v="2"/>
  </r>
  <r>
    <n v="643"/>
    <x v="272"/>
    <s v="CUST643"/>
    <x v="1"/>
    <n v="28"/>
    <x v="2"/>
    <n v="3"/>
    <n v="30"/>
    <n v="90"/>
    <x v="0"/>
    <x v="0"/>
  </r>
  <r>
    <n v="644"/>
    <x v="147"/>
    <s v="CUST644"/>
    <x v="0"/>
    <n v="23"/>
    <x v="0"/>
    <n v="3"/>
    <n v="25"/>
    <n v="75"/>
    <x v="4"/>
    <x v="0"/>
  </r>
  <r>
    <n v="645"/>
    <x v="131"/>
    <s v="CUST645"/>
    <x v="1"/>
    <n v="35"/>
    <x v="2"/>
    <n v="4"/>
    <n v="30"/>
    <n v="120"/>
    <x v="2"/>
    <x v="0"/>
  </r>
  <r>
    <n v="646"/>
    <x v="143"/>
    <s v="CUST646"/>
    <x v="0"/>
    <n v="38"/>
    <x v="1"/>
    <n v="3"/>
    <n v="30"/>
    <n v="90"/>
    <x v="2"/>
    <x v="2"/>
  </r>
  <r>
    <n v="647"/>
    <x v="3"/>
    <s v="CUST647"/>
    <x v="0"/>
    <n v="59"/>
    <x v="1"/>
    <n v="3"/>
    <n v="500"/>
    <n v="1500"/>
    <x v="3"/>
    <x v="2"/>
  </r>
  <r>
    <n v="648"/>
    <x v="306"/>
    <s v="CUST648"/>
    <x v="0"/>
    <n v="53"/>
    <x v="0"/>
    <n v="4"/>
    <n v="300"/>
    <n v="1200"/>
    <x v="1"/>
    <x v="3"/>
  </r>
  <r>
    <n v="649"/>
    <x v="307"/>
    <s v="CUST649"/>
    <x v="1"/>
    <n v="58"/>
    <x v="1"/>
    <n v="2"/>
    <n v="300"/>
    <n v="600"/>
    <x v="3"/>
    <x v="1"/>
  </r>
  <r>
    <n v="650"/>
    <x v="158"/>
    <s v="CUST650"/>
    <x v="0"/>
    <n v="55"/>
    <x v="2"/>
    <n v="1"/>
    <n v="30"/>
    <n v="30"/>
    <x v="3"/>
    <x v="1"/>
  </r>
  <r>
    <n v="651"/>
    <x v="203"/>
    <s v="CUST651"/>
    <x v="0"/>
    <n v="51"/>
    <x v="1"/>
    <n v="3"/>
    <n v="50"/>
    <n v="150"/>
    <x v="1"/>
    <x v="2"/>
  </r>
  <r>
    <n v="652"/>
    <x v="217"/>
    <s v="CUST652"/>
    <x v="1"/>
    <n v="34"/>
    <x v="0"/>
    <n v="2"/>
    <n v="50"/>
    <n v="100"/>
    <x v="0"/>
    <x v="2"/>
  </r>
  <r>
    <n v="653"/>
    <x v="241"/>
    <s v="CUST653"/>
    <x v="0"/>
    <n v="54"/>
    <x v="1"/>
    <n v="3"/>
    <n v="25"/>
    <n v="75"/>
    <x v="1"/>
    <x v="2"/>
  </r>
  <r>
    <n v="654"/>
    <x v="288"/>
    <s v="CUST654"/>
    <x v="0"/>
    <n v="42"/>
    <x v="1"/>
    <n v="3"/>
    <n v="25"/>
    <n v="75"/>
    <x v="2"/>
    <x v="3"/>
  </r>
  <r>
    <n v="655"/>
    <x v="308"/>
    <s v="CUST655"/>
    <x v="1"/>
    <n v="55"/>
    <x v="1"/>
    <n v="1"/>
    <n v="500"/>
    <n v="500"/>
    <x v="3"/>
    <x v="3"/>
  </r>
  <r>
    <n v="656"/>
    <x v="135"/>
    <s v="CUST656"/>
    <x v="0"/>
    <n v="29"/>
    <x v="0"/>
    <n v="3"/>
    <n v="30"/>
    <n v="90"/>
    <x v="0"/>
    <x v="0"/>
  </r>
  <r>
    <n v="657"/>
    <x v="213"/>
    <s v="CUST657"/>
    <x v="0"/>
    <n v="40"/>
    <x v="1"/>
    <n v="1"/>
    <n v="25"/>
    <n v="25"/>
    <x v="2"/>
    <x v="1"/>
  </r>
  <r>
    <n v="658"/>
    <x v="105"/>
    <s v="CUST658"/>
    <x v="0"/>
    <n v="59"/>
    <x v="1"/>
    <n v="1"/>
    <n v="25"/>
    <n v="25"/>
    <x v="3"/>
    <x v="2"/>
  </r>
  <r>
    <n v="659"/>
    <x v="309"/>
    <s v="CUST659"/>
    <x v="1"/>
    <n v="39"/>
    <x v="2"/>
    <n v="1"/>
    <n v="30"/>
    <n v="30"/>
    <x v="2"/>
    <x v="2"/>
  </r>
  <r>
    <n v="660"/>
    <x v="310"/>
    <s v="CUST660"/>
    <x v="1"/>
    <n v="38"/>
    <x v="0"/>
    <n v="2"/>
    <n v="500"/>
    <n v="1000"/>
    <x v="2"/>
    <x v="2"/>
  </r>
  <r>
    <n v="661"/>
    <x v="295"/>
    <s v="CUST661"/>
    <x v="1"/>
    <n v="44"/>
    <x v="1"/>
    <n v="4"/>
    <n v="25"/>
    <n v="100"/>
    <x v="2"/>
    <x v="3"/>
  </r>
  <r>
    <n v="662"/>
    <x v="311"/>
    <s v="CUST662"/>
    <x v="0"/>
    <n v="48"/>
    <x v="0"/>
    <n v="2"/>
    <n v="500"/>
    <n v="1000"/>
    <x v="1"/>
    <x v="1"/>
  </r>
  <r>
    <n v="663"/>
    <x v="111"/>
    <s v="CUST663"/>
    <x v="0"/>
    <n v="23"/>
    <x v="1"/>
    <n v="4"/>
    <n v="300"/>
    <n v="1200"/>
    <x v="4"/>
    <x v="2"/>
  </r>
  <r>
    <n v="664"/>
    <x v="251"/>
    <s v="CUST664"/>
    <x v="1"/>
    <n v="44"/>
    <x v="1"/>
    <n v="4"/>
    <n v="500"/>
    <n v="2000"/>
    <x v="2"/>
    <x v="1"/>
  </r>
  <r>
    <n v="665"/>
    <x v="175"/>
    <s v="CUST665"/>
    <x v="0"/>
    <n v="57"/>
    <x v="1"/>
    <n v="1"/>
    <n v="50"/>
    <n v="50"/>
    <x v="3"/>
    <x v="2"/>
  </r>
  <r>
    <n v="666"/>
    <x v="114"/>
    <s v="CUST666"/>
    <x v="0"/>
    <n v="51"/>
    <x v="2"/>
    <n v="3"/>
    <n v="50"/>
    <n v="150"/>
    <x v="1"/>
    <x v="1"/>
  </r>
  <r>
    <n v="667"/>
    <x v="291"/>
    <s v="CUST667"/>
    <x v="1"/>
    <n v="29"/>
    <x v="2"/>
    <n v="1"/>
    <n v="500"/>
    <n v="500"/>
    <x v="0"/>
    <x v="3"/>
  </r>
  <r>
    <n v="668"/>
    <x v="180"/>
    <s v="CUST668"/>
    <x v="1"/>
    <n v="62"/>
    <x v="2"/>
    <n v="3"/>
    <n v="50"/>
    <n v="150"/>
    <x v="3"/>
    <x v="3"/>
  </r>
  <r>
    <n v="669"/>
    <x v="171"/>
    <s v="CUST669"/>
    <x v="0"/>
    <n v="24"/>
    <x v="0"/>
    <n v="4"/>
    <n v="300"/>
    <n v="1200"/>
    <x v="4"/>
    <x v="3"/>
  </r>
  <r>
    <n v="670"/>
    <x v="209"/>
    <s v="CUST670"/>
    <x v="0"/>
    <n v="27"/>
    <x v="0"/>
    <n v="1"/>
    <n v="30"/>
    <n v="30"/>
    <x v="0"/>
    <x v="0"/>
  </r>
  <r>
    <n v="671"/>
    <x v="286"/>
    <s v="CUST671"/>
    <x v="0"/>
    <n v="62"/>
    <x v="2"/>
    <n v="3"/>
    <n v="50"/>
    <n v="150"/>
    <x v="3"/>
    <x v="3"/>
  </r>
  <r>
    <n v="672"/>
    <x v="291"/>
    <s v="CUST672"/>
    <x v="1"/>
    <n v="34"/>
    <x v="0"/>
    <n v="2"/>
    <n v="50"/>
    <n v="100"/>
    <x v="0"/>
    <x v="3"/>
  </r>
  <r>
    <n v="673"/>
    <x v="190"/>
    <s v="CUST673"/>
    <x v="1"/>
    <n v="43"/>
    <x v="1"/>
    <n v="3"/>
    <n v="500"/>
    <n v="1500"/>
    <x v="2"/>
    <x v="1"/>
  </r>
  <r>
    <n v="674"/>
    <x v="312"/>
    <s v="CUST674"/>
    <x v="1"/>
    <n v="38"/>
    <x v="1"/>
    <n v="1"/>
    <n v="300"/>
    <n v="300"/>
    <x v="2"/>
    <x v="2"/>
  </r>
  <r>
    <n v="675"/>
    <x v="279"/>
    <s v="CUST675"/>
    <x v="1"/>
    <n v="45"/>
    <x v="1"/>
    <n v="2"/>
    <n v="30"/>
    <n v="60"/>
    <x v="1"/>
    <x v="3"/>
  </r>
  <r>
    <n v="676"/>
    <x v="202"/>
    <s v="CUST676"/>
    <x v="0"/>
    <n v="63"/>
    <x v="2"/>
    <n v="3"/>
    <n v="500"/>
    <n v="1500"/>
    <x v="3"/>
    <x v="3"/>
  </r>
  <r>
    <n v="677"/>
    <x v="101"/>
    <s v="CUST677"/>
    <x v="1"/>
    <n v="19"/>
    <x v="0"/>
    <n v="3"/>
    <n v="500"/>
    <n v="1500"/>
    <x v="4"/>
    <x v="0"/>
  </r>
  <r>
    <n v="678"/>
    <x v="204"/>
    <s v="CUST678"/>
    <x v="1"/>
    <n v="60"/>
    <x v="2"/>
    <n v="3"/>
    <n v="300"/>
    <n v="900"/>
    <x v="3"/>
    <x v="1"/>
  </r>
  <r>
    <n v="679"/>
    <x v="166"/>
    <s v="CUST679"/>
    <x v="1"/>
    <n v="18"/>
    <x v="0"/>
    <n v="3"/>
    <n v="30"/>
    <n v="90"/>
    <x v="4"/>
    <x v="1"/>
  </r>
  <r>
    <n v="680"/>
    <x v="293"/>
    <s v="CUST680"/>
    <x v="1"/>
    <n v="53"/>
    <x v="1"/>
    <n v="3"/>
    <n v="300"/>
    <n v="900"/>
    <x v="1"/>
    <x v="0"/>
  </r>
  <r>
    <n v="681"/>
    <x v="37"/>
    <s v="CUST681"/>
    <x v="1"/>
    <n v="43"/>
    <x v="2"/>
    <n v="2"/>
    <n v="30"/>
    <n v="60"/>
    <x v="2"/>
    <x v="3"/>
  </r>
  <r>
    <n v="682"/>
    <x v="211"/>
    <s v="CUST682"/>
    <x v="0"/>
    <n v="46"/>
    <x v="0"/>
    <n v="4"/>
    <n v="300"/>
    <n v="1200"/>
    <x v="1"/>
    <x v="0"/>
  </r>
  <r>
    <n v="683"/>
    <x v="30"/>
    <s v="CUST683"/>
    <x v="0"/>
    <n v="38"/>
    <x v="0"/>
    <n v="2"/>
    <n v="500"/>
    <n v="1000"/>
    <x v="2"/>
    <x v="1"/>
  </r>
  <r>
    <n v="684"/>
    <x v="313"/>
    <s v="CUST684"/>
    <x v="1"/>
    <n v="28"/>
    <x v="1"/>
    <n v="2"/>
    <n v="500"/>
    <n v="1000"/>
    <x v="0"/>
    <x v="3"/>
  </r>
  <r>
    <n v="685"/>
    <x v="132"/>
    <s v="CUST685"/>
    <x v="0"/>
    <n v="57"/>
    <x v="2"/>
    <n v="2"/>
    <n v="25"/>
    <n v="50"/>
    <x v="3"/>
    <x v="3"/>
  </r>
  <r>
    <n v="686"/>
    <x v="202"/>
    <s v="CUST686"/>
    <x v="1"/>
    <n v="28"/>
    <x v="2"/>
    <n v="4"/>
    <n v="50"/>
    <n v="200"/>
    <x v="0"/>
    <x v="3"/>
  </r>
  <r>
    <n v="687"/>
    <x v="25"/>
    <s v="CUST687"/>
    <x v="1"/>
    <n v="53"/>
    <x v="2"/>
    <n v="1"/>
    <n v="300"/>
    <n v="300"/>
    <x v="1"/>
    <x v="3"/>
  </r>
  <r>
    <n v="688"/>
    <x v="99"/>
    <s v="CUST688"/>
    <x v="0"/>
    <n v="56"/>
    <x v="1"/>
    <n v="4"/>
    <n v="25"/>
    <n v="100"/>
    <x v="3"/>
    <x v="0"/>
  </r>
  <r>
    <n v="689"/>
    <x v="9"/>
    <s v="CUST689"/>
    <x v="0"/>
    <n v="57"/>
    <x v="2"/>
    <n v="2"/>
    <n v="50"/>
    <n v="100"/>
    <x v="3"/>
    <x v="0"/>
  </r>
  <r>
    <n v="690"/>
    <x v="19"/>
    <s v="CUST690"/>
    <x v="1"/>
    <n v="52"/>
    <x v="1"/>
    <n v="3"/>
    <n v="300"/>
    <n v="900"/>
    <x v="1"/>
    <x v="0"/>
  </r>
  <r>
    <n v="691"/>
    <x v="26"/>
    <s v="CUST691"/>
    <x v="1"/>
    <n v="51"/>
    <x v="1"/>
    <n v="3"/>
    <n v="30"/>
    <n v="90"/>
    <x v="1"/>
    <x v="2"/>
  </r>
  <r>
    <n v="692"/>
    <x v="206"/>
    <s v="CUST692"/>
    <x v="1"/>
    <n v="64"/>
    <x v="1"/>
    <n v="2"/>
    <n v="50"/>
    <n v="100"/>
    <x v="3"/>
    <x v="0"/>
  </r>
  <r>
    <n v="693"/>
    <x v="26"/>
    <s v="CUST693"/>
    <x v="0"/>
    <n v="41"/>
    <x v="0"/>
    <n v="3"/>
    <n v="500"/>
    <n v="1500"/>
    <x v="2"/>
    <x v="2"/>
  </r>
  <r>
    <n v="694"/>
    <x v="241"/>
    <s v="CUST694"/>
    <x v="1"/>
    <n v="39"/>
    <x v="2"/>
    <n v="2"/>
    <n v="25"/>
    <n v="50"/>
    <x v="2"/>
    <x v="2"/>
  </r>
  <r>
    <n v="695"/>
    <x v="269"/>
    <s v="CUST695"/>
    <x v="1"/>
    <n v="22"/>
    <x v="2"/>
    <n v="3"/>
    <n v="50"/>
    <n v="150"/>
    <x v="4"/>
    <x v="3"/>
  </r>
  <r>
    <n v="696"/>
    <x v="147"/>
    <s v="CUST696"/>
    <x v="1"/>
    <n v="50"/>
    <x v="1"/>
    <n v="4"/>
    <n v="50"/>
    <n v="200"/>
    <x v="1"/>
    <x v="0"/>
  </r>
  <r>
    <n v="697"/>
    <x v="267"/>
    <s v="CUST697"/>
    <x v="0"/>
    <n v="53"/>
    <x v="1"/>
    <n v="1"/>
    <n v="500"/>
    <n v="500"/>
    <x v="1"/>
    <x v="1"/>
  </r>
  <r>
    <n v="698"/>
    <x v="202"/>
    <s v="CUST698"/>
    <x v="1"/>
    <n v="64"/>
    <x v="2"/>
    <n v="1"/>
    <n v="300"/>
    <n v="300"/>
    <x v="3"/>
    <x v="3"/>
  </r>
  <r>
    <n v="699"/>
    <x v="36"/>
    <s v="CUST699"/>
    <x v="1"/>
    <n v="37"/>
    <x v="1"/>
    <n v="4"/>
    <n v="30"/>
    <n v="120"/>
    <x v="2"/>
    <x v="3"/>
  </r>
  <r>
    <n v="700"/>
    <x v="174"/>
    <s v="CUST700"/>
    <x v="0"/>
    <n v="36"/>
    <x v="2"/>
    <n v="4"/>
    <n v="500"/>
    <n v="2000"/>
    <x v="2"/>
    <x v="1"/>
  </r>
  <r>
    <n v="701"/>
    <x v="266"/>
    <s v="CUST701"/>
    <x v="1"/>
    <n v="52"/>
    <x v="0"/>
    <n v="2"/>
    <n v="30"/>
    <n v="60"/>
    <x v="1"/>
    <x v="1"/>
  </r>
  <r>
    <n v="702"/>
    <x v="282"/>
    <s v="CUST702"/>
    <x v="1"/>
    <n v="60"/>
    <x v="1"/>
    <n v="2"/>
    <n v="300"/>
    <n v="600"/>
    <x v="3"/>
    <x v="3"/>
  </r>
  <r>
    <n v="703"/>
    <x v="154"/>
    <s v="CUST703"/>
    <x v="0"/>
    <n v="34"/>
    <x v="2"/>
    <n v="2"/>
    <n v="50"/>
    <n v="100"/>
    <x v="0"/>
    <x v="2"/>
  </r>
  <r>
    <n v="704"/>
    <x v="117"/>
    <s v="CUST704"/>
    <x v="1"/>
    <n v="62"/>
    <x v="1"/>
    <n v="3"/>
    <n v="30"/>
    <n v="90"/>
    <x v="3"/>
    <x v="3"/>
  </r>
  <r>
    <n v="705"/>
    <x v="150"/>
    <s v="CUST705"/>
    <x v="0"/>
    <n v="60"/>
    <x v="2"/>
    <n v="2"/>
    <n v="25"/>
    <n v="50"/>
    <x v="3"/>
    <x v="2"/>
  </r>
  <r>
    <n v="706"/>
    <x v="229"/>
    <s v="CUST706"/>
    <x v="0"/>
    <n v="51"/>
    <x v="2"/>
    <n v="4"/>
    <n v="25"/>
    <n v="100"/>
    <x v="1"/>
    <x v="0"/>
  </r>
  <r>
    <n v="707"/>
    <x v="77"/>
    <s v="CUST707"/>
    <x v="1"/>
    <n v="26"/>
    <x v="1"/>
    <n v="1"/>
    <n v="500"/>
    <n v="500"/>
    <x v="0"/>
    <x v="0"/>
  </r>
  <r>
    <n v="708"/>
    <x v="20"/>
    <s v="CUST708"/>
    <x v="1"/>
    <n v="43"/>
    <x v="0"/>
    <n v="3"/>
    <n v="300"/>
    <n v="900"/>
    <x v="2"/>
    <x v="1"/>
  </r>
  <r>
    <n v="709"/>
    <x v="314"/>
    <s v="CUST709"/>
    <x v="1"/>
    <n v="19"/>
    <x v="2"/>
    <n v="2"/>
    <n v="500"/>
    <n v="1000"/>
    <x v="4"/>
    <x v="3"/>
  </r>
  <r>
    <n v="710"/>
    <x v="315"/>
    <s v="CUST710"/>
    <x v="1"/>
    <n v="26"/>
    <x v="2"/>
    <n v="3"/>
    <n v="500"/>
    <n v="1500"/>
    <x v="0"/>
    <x v="0"/>
  </r>
  <r>
    <n v="711"/>
    <x v="230"/>
    <s v="CUST711"/>
    <x v="0"/>
    <n v="26"/>
    <x v="2"/>
    <n v="3"/>
    <n v="500"/>
    <n v="1500"/>
    <x v="0"/>
    <x v="0"/>
  </r>
  <r>
    <n v="712"/>
    <x v="237"/>
    <s v="CUST712"/>
    <x v="1"/>
    <n v="57"/>
    <x v="0"/>
    <n v="2"/>
    <n v="25"/>
    <n v="50"/>
    <x v="3"/>
    <x v="1"/>
  </r>
  <r>
    <n v="713"/>
    <x v="20"/>
    <s v="CUST713"/>
    <x v="0"/>
    <n v="34"/>
    <x v="0"/>
    <n v="3"/>
    <n v="25"/>
    <n v="75"/>
    <x v="0"/>
    <x v="1"/>
  </r>
  <r>
    <n v="714"/>
    <x v="316"/>
    <s v="CUST714"/>
    <x v="1"/>
    <n v="18"/>
    <x v="1"/>
    <n v="1"/>
    <n v="500"/>
    <n v="500"/>
    <x v="4"/>
    <x v="1"/>
  </r>
  <r>
    <n v="715"/>
    <x v="95"/>
    <s v="CUST715"/>
    <x v="1"/>
    <n v="42"/>
    <x v="0"/>
    <n v="4"/>
    <n v="25"/>
    <n v="100"/>
    <x v="2"/>
    <x v="0"/>
  </r>
  <r>
    <n v="716"/>
    <x v="102"/>
    <s v="CUST716"/>
    <x v="1"/>
    <n v="60"/>
    <x v="1"/>
    <n v="4"/>
    <n v="300"/>
    <n v="1200"/>
    <x v="3"/>
    <x v="3"/>
  </r>
  <r>
    <n v="717"/>
    <x v="317"/>
    <s v="CUST717"/>
    <x v="0"/>
    <n v="57"/>
    <x v="1"/>
    <n v="1"/>
    <n v="500"/>
    <n v="500"/>
    <x v="3"/>
    <x v="2"/>
  </r>
  <r>
    <n v="718"/>
    <x v="78"/>
    <s v="CUST718"/>
    <x v="1"/>
    <n v="59"/>
    <x v="0"/>
    <n v="3"/>
    <n v="25"/>
    <n v="75"/>
    <x v="3"/>
    <x v="3"/>
  </r>
  <r>
    <n v="719"/>
    <x v="194"/>
    <s v="CUST719"/>
    <x v="1"/>
    <n v="42"/>
    <x v="1"/>
    <n v="2"/>
    <n v="30"/>
    <n v="60"/>
    <x v="2"/>
    <x v="2"/>
  </r>
  <r>
    <n v="720"/>
    <x v="197"/>
    <s v="CUST720"/>
    <x v="1"/>
    <n v="56"/>
    <x v="0"/>
    <n v="3"/>
    <n v="500"/>
    <n v="1500"/>
    <x v="3"/>
    <x v="1"/>
  </r>
  <r>
    <n v="721"/>
    <x v="224"/>
    <s v="CUST721"/>
    <x v="1"/>
    <n v="52"/>
    <x v="1"/>
    <n v="1"/>
    <n v="500"/>
    <n v="500"/>
    <x v="1"/>
    <x v="2"/>
  </r>
  <r>
    <n v="722"/>
    <x v="37"/>
    <s v="CUST722"/>
    <x v="0"/>
    <n v="20"/>
    <x v="0"/>
    <n v="3"/>
    <n v="300"/>
    <n v="900"/>
    <x v="4"/>
    <x v="3"/>
  </r>
  <r>
    <n v="723"/>
    <x v="278"/>
    <s v="CUST723"/>
    <x v="1"/>
    <n v="54"/>
    <x v="0"/>
    <n v="4"/>
    <n v="50"/>
    <n v="200"/>
    <x v="1"/>
    <x v="3"/>
  </r>
  <r>
    <n v="724"/>
    <x v="90"/>
    <s v="CUST724"/>
    <x v="0"/>
    <n v="61"/>
    <x v="1"/>
    <n v="3"/>
    <n v="50"/>
    <n v="150"/>
    <x v="3"/>
    <x v="2"/>
  </r>
  <r>
    <n v="725"/>
    <x v="63"/>
    <s v="CUST725"/>
    <x v="0"/>
    <n v="61"/>
    <x v="2"/>
    <n v="1"/>
    <n v="300"/>
    <n v="300"/>
    <x v="3"/>
    <x v="3"/>
  </r>
  <r>
    <n v="726"/>
    <x v="278"/>
    <s v="CUST726"/>
    <x v="0"/>
    <n v="47"/>
    <x v="1"/>
    <n v="4"/>
    <n v="300"/>
    <n v="1200"/>
    <x v="1"/>
    <x v="3"/>
  </r>
  <r>
    <n v="727"/>
    <x v="36"/>
    <s v="CUST727"/>
    <x v="0"/>
    <n v="55"/>
    <x v="0"/>
    <n v="3"/>
    <n v="300"/>
    <n v="900"/>
    <x v="3"/>
    <x v="3"/>
  </r>
  <r>
    <n v="728"/>
    <x v="37"/>
    <s v="CUST728"/>
    <x v="0"/>
    <n v="51"/>
    <x v="2"/>
    <n v="3"/>
    <n v="50"/>
    <n v="150"/>
    <x v="1"/>
    <x v="3"/>
  </r>
  <r>
    <n v="729"/>
    <x v="29"/>
    <s v="CUST729"/>
    <x v="0"/>
    <n v="29"/>
    <x v="1"/>
    <n v="4"/>
    <n v="300"/>
    <n v="1200"/>
    <x v="0"/>
    <x v="2"/>
  </r>
  <r>
    <n v="730"/>
    <x v="279"/>
    <s v="CUST730"/>
    <x v="1"/>
    <n v="36"/>
    <x v="1"/>
    <n v="2"/>
    <n v="25"/>
    <n v="50"/>
    <x v="2"/>
    <x v="3"/>
  </r>
  <r>
    <n v="731"/>
    <x v="318"/>
    <s v="CUST731"/>
    <x v="0"/>
    <n v="54"/>
    <x v="1"/>
    <n v="4"/>
    <n v="500"/>
    <n v="2000"/>
    <x v="1"/>
    <x v="2"/>
  </r>
  <r>
    <n v="732"/>
    <x v="213"/>
    <s v="CUST732"/>
    <x v="0"/>
    <n v="61"/>
    <x v="2"/>
    <n v="2"/>
    <n v="500"/>
    <n v="1000"/>
    <x v="3"/>
    <x v="1"/>
  </r>
  <r>
    <n v="733"/>
    <x v="261"/>
    <s v="CUST733"/>
    <x v="0"/>
    <n v="34"/>
    <x v="0"/>
    <n v="1"/>
    <n v="30"/>
    <n v="30"/>
    <x v="0"/>
    <x v="3"/>
  </r>
  <r>
    <n v="734"/>
    <x v="141"/>
    <s v="CUST734"/>
    <x v="1"/>
    <n v="27"/>
    <x v="1"/>
    <n v="1"/>
    <n v="30"/>
    <n v="30"/>
    <x v="0"/>
    <x v="1"/>
  </r>
  <r>
    <n v="735"/>
    <x v="135"/>
    <s v="CUST735"/>
    <x v="1"/>
    <n v="64"/>
    <x v="1"/>
    <n v="4"/>
    <n v="500"/>
    <n v="2000"/>
    <x v="3"/>
    <x v="0"/>
  </r>
  <r>
    <n v="736"/>
    <x v="246"/>
    <s v="CUST736"/>
    <x v="0"/>
    <n v="29"/>
    <x v="1"/>
    <n v="4"/>
    <n v="25"/>
    <n v="100"/>
    <x v="0"/>
    <x v="1"/>
  </r>
  <r>
    <n v="737"/>
    <x v="263"/>
    <s v="CUST737"/>
    <x v="1"/>
    <n v="33"/>
    <x v="1"/>
    <n v="1"/>
    <n v="50"/>
    <n v="50"/>
    <x v="0"/>
    <x v="3"/>
  </r>
  <r>
    <n v="738"/>
    <x v="5"/>
    <s v="CUST738"/>
    <x v="0"/>
    <n v="41"/>
    <x v="1"/>
    <n v="2"/>
    <n v="50"/>
    <n v="100"/>
    <x v="2"/>
    <x v="2"/>
  </r>
  <r>
    <n v="739"/>
    <x v="23"/>
    <s v="CUST739"/>
    <x v="0"/>
    <n v="36"/>
    <x v="0"/>
    <n v="1"/>
    <n v="25"/>
    <n v="25"/>
    <x v="2"/>
    <x v="0"/>
  </r>
  <r>
    <n v="740"/>
    <x v="57"/>
    <s v="CUST740"/>
    <x v="1"/>
    <n v="25"/>
    <x v="0"/>
    <n v="4"/>
    <n v="50"/>
    <n v="200"/>
    <x v="0"/>
    <x v="1"/>
  </r>
  <r>
    <n v="741"/>
    <x v="198"/>
    <s v="CUST741"/>
    <x v="0"/>
    <n v="48"/>
    <x v="1"/>
    <n v="1"/>
    <n v="300"/>
    <n v="300"/>
    <x v="1"/>
    <x v="0"/>
  </r>
  <r>
    <n v="742"/>
    <x v="219"/>
    <s v="CUST742"/>
    <x v="1"/>
    <n v="38"/>
    <x v="2"/>
    <n v="4"/>
    <n v="500"/>
    <n v="2000"/>
    <x v="2"/>
    <x v="1"/>
  </r>
  <r>
    <n v="743"/>
    <x v="14"/>
    <s v="CUST743"/>
    <x v="1"/>
    <n v="34"/>
    <x v="0"/>
    <n v="4"/>
    <n v="500"/>
    <n v="2000"/>
    <x v="0"/>
    <x v="1"/>
  </r>
  <r>
    <n v="744"/>
    <x v="98"/>
    <s v="CUST744"/>
    <x v="0"/>
    <n v="40"/>
    <x v="2"/>
    <n v="1"/>
    <n v="25"/>
    <n v="25"/>
    <x v="2"/>
    <x v="2"/>
  </r>
  <r>
    <n v="745"/>
    <x v="157"/>
    <s v="CUST745"/>
    <x v="0"/>
    <n v="54"/>
    <x v="0"/>
    <n v="2"/>
    <n v="50"/>
    <n v="100"/>
    <x v="1"/>
    <x v="2"/>
  </r>
  <r>
    <n v="746"/>
    <x v="166"/>
    <s v="CUST746"/>
    <x v="1"/>
    <n v="33"/>
    <x v="1"/>
    <n v="3"/>
    <n v="30"/>
    <n v="90"/>
    <x v="0"/>
    <x v="1"/>
  </r>
  <r>
    <n v="747"/>
    <x v="229"/>
    <s v="CUST747"/>
    <x v="0"/>
    <n v="23"/>
    <x v="0"/>
    <n v="1"/>
    <n v="30"/>
    <n v="30"/>
    <x v="4"/>
    <x v="0"/>
  </r>
  <r>
    <n v="748"/>
    <x v="111"/>
    <s v="CUST748"/>
    <x v="0"/>
    <n v="25"/>
    <x v="1"/>
    <n v="3"/>
    <n v="50"/>
    <n v="150"/>
    <x v="0"/>
    <x v="2"/>
  </r>
  <r>
    <n v="749"/>
    <x v="143"/>
    <s v="CUST749"/>
    <x v="0"/>
    <n v="42"/>
    <x v="0"/>
    <n v="1"/>
    <n v="30"/>
    <n v="30"/>
    <x v="2"/>
    <x v="2"/>
  </r>
  <r>
    <n v="750"/>
    <x v="149"/>
    <s v="CUST750"/>
    <x v="1"/>
    <n v="35"/>
    <x v="1"/>
    <n v="3"/>
    <n v="25"/>
    <n v="75"/>
    <x v="2"/>
    <x v="2"/>
  </r>
  <r>
    <n v="751"/>
    <x v="178"/>
    <s v="CUST751"/>
    <x v="1"/>
    <n v="42"/>
    <x v="1"/>
    <n v="2"/>
    <n v="25"/>
    <n v="50"/>
    <x v="2"/>
    <x v="3"/>
  </r>
  <r>
    <n v="752"/>
    <x v="174"/>
    <s v="CUST752"/>
    <x v="0"/>
    <n v="29"/>
    <x v="1"/>
    <n v="2"/>
    <n v="50"/>
    <n v="100"/>
    <x v="0"/>
    <x v="1"/>
  </r>
  <r>
    <n v="753"/>
    <x v="122"/>
    <s v="CUST753"/>
    <x v="1"/>
    <n v="32"/>
    <x v="1"/>
    <n v="1"/>
    <n v="30"/>
    <n v="30"/>
    <x v="0"/>
    <x v="1"/>
  </r>
  <r>
    <n v="754"/>
    <x v="230"/>
    <s v="CUST754"/>
    <x v="1"/>
    <n v="43"/>
    <x v="2"/>
    <n v="4"/>
    <n v="25"/>
    <n v="100"/>
    <x v="2"/>
    <x v="0"/>
  </r>
  <r>
    <n v="755"/>
    <x v="16"/>
    <s v="CUST755"/>
    <x v="1"/>
    <n v="58"/>
    <x v="1"/>
    <n v="3"/>
    <n v="25"/>
    <n v="75"/>
    <x v="3"/>
    <x v="2"/>
  </r>
  <r>
    <n v="756"/>
    <x v="286"/>
    <s v="CUST756"/>
    <x v="1"/>
    <n v="62"/>
    <x v="2"/>
    <n v="4"/>
    <n v="300"/>
    <n v="1200"/>
    <x v="3"/>
    <x v="3"/>
  </r>
  <r>
    <n v="757"/>
    <x v="319"/>
    <s v="CUST757"/>
    <x v="1"/>
    <n v="43"/>
    <x v="2"/>
    <n v="4"/>
    <n v="300"/>
    <n v="1200"/>
    <x v="2"/>
    <x v="1"/>
  </r>
  <r>
    <n v="758"/>
    <x v="320"/>
    <s v="CUST758"/>
    <x v="0"/>
    <n v="64"/>
    <x v="1"/>
    <n v="4"/>
    <n v="25"/>
    <n v="100"/>
    <x v="3"/>
    <x v="2"/>
  </r>
  <r>
    <n v="759"/>
    <x v="321"/>
    <s v="CUST759"/>
    <x v="0"/>
    <n v="49"/>
    <x v="2"/>
    <n v="2"/>
    <n v="50"/>
    <n v="100"/>
    <x v="1"/>
    <x v="3"/>
  </r>
  <r>
    <n v="760"/>
    <x v="200"/>
    <s v="CUST760"/>
    <x v="0"/>
    <n v="27"/>
    <x v="0"/>
    <n v="1"/>
    <n v="500"/>
    <n v="500"/>
    <x v="0"/>
    <x v="2"/>
  </r>
  <r>
    <n v="761"/>
    <x v="155"/>
    <s v="CUST761"/>
    <x v="1"/>
    <n v="33"/>
    <x v="1"/>
    <n v="1"/>
    <n v="500"/>
    <n v="500"/>
    <x v="0"/>
    <x v="0"/>
  </r>
  <r>
    <n v="762"/>
    <x v="155"/>
    <s v="CUST762"/>
    <x v="1"/>
    <n v="24"/>
    <x v="2"/>
    <n v="2"/>
    <n v="25"/>
    <n v="50"/>
    <x v="4"/>
    <x v="0"/>
  </r>
  <r>
    <n v="763"/>
    <x v="122"/>
    <s v="CUST763"/>
    <x v="0"/>
    <n v="34"/>
    <x v="1"/>
    <n v="2"/>
    <n v="25"/>
    <n v="50"/>
    <x v="0"/>
    <x v="1"/>
  </r>
  <r>
    <n v="764"/>
    <x v="66"/>
    <s v="CUST764"/>
    <x v="1"/>
    <n v="40"/>
    <x v="1"/>
    <n v="1"/>
    <n v="25"/>
    <n v="25"/>
    <x v="2"/>
    <x v="2"/>
  </r>
  <r>
    <n v="765"/>
    <x v="159"/>
    <s v="CUST765"/>
    <x v="0"/>
    <n v="43"/>
    <x v="1"/>
    <n v="4"/>
    <n v="50"/>
    <n v="200"/>
    <x v="2"/>
    <x v="3"/>
  </r>
  <r>
    <n v="766"/>
    <x v="192"/>
    <s v="CUST766"/>
    <x v="0"/>
    <n v="38"/>
    <x v="2"/>
    <n v="3"/>
    <n v="300"/>
    <n v="900"/>
    <x v="2"/>
    <x v="1"/>
  </r>
  <r>
    <n v="767"/>
    <x v="208"/>
    <s v="CUST767"/>
    <x v="0"/>
    <n v="39"/>
    <x v="0"/>
    <n v="3"/>
    <n v="25"/>
    <n v="75"/>
    <x v="2"/>
    <x v="0"/>
  </r>
  <r>
    <n v="768"/>
    <x v="20"/>
    <s v="CUST768"/>
    <x v="1"/>
    <n v="24"/>
    <x v="0"/>
    <n v="3"/>
    <n v="25"/>
    <n v="75"/>
    <x v="4"/>
    <x v="1"/>
  </r>
  <r>
    <n v="769"/>
    <x v="159"/>
    <s v="CUST769"/>
    <x v="1"/>
    <n v="31"/>
    <x v="2"/>
    <n v="4"/>
    <n v="30"/>
    <n v="120"/>
    <x v="0"/>
    <x v="3"/>
  </r>
  <r>
    <n v="770"/>
    <x v="293"/>
    <s v="CUST770"/>
    <x v="0"/>
    <n v="32"/>
    <x v="1"/>
    <n v="1"/>
    <n v="50"/>
    <n v="50"/>
    <x v="0"/>
    <x v="0"/>
  </r>
  <r>
    <n v="771"/>
    <x v="8"/>
    <s v="CUST771"/>
    <x v="0"/>
    <n v="24"/>
    <x v="2"/>
    <n v="2"/>
    <n v="25"/>
    <n v="50"/>
    <x v="4"/>
    <x v="1"/>
  </r>
  <r>
    <n v="772"/>
    <x v="322"/>
    <s v="CUST772"/>
    <x v="0"/>
    <n v="26"/>
    <x v="2"/>
    <n v="1"/>
    <n v="30"/>
    <n v="30"/>
    <x v="0"/>
    <x v="3"/>
  </r>
  <r>
    <n v="773"/>
    <x v="323"/>
    <s v="CUST773"/>
    <x v="0"/>
    <n v="25"/>
    <x v="2"/>
    <n v="4"/>
    <n v="500"/>
    <n v="2000"/>
    <x v="0"/>
    <x v="3"/>
  </r>
  <r>
    <n v="774"/>
    <x v="22"/>
    <s v="CUST774"/>
    <x v="1"/>
    <n v="40"/>
    <x v="1"/>
    <n v="2"/>
    <n v="25"/>
    <n v="50"/>
    <x v="2"/>
    <x v="2"/>
  </r>
  <r>
    <n v="775"/>
    <x v="195"/>
    <s v="CUST775"/>
    <x v="1"/>
    <n v="46"/>
    <x v="2"/>
    <n v="4"/>
    <n v="25"/>
    <n v="100"/>
    <x v="1"/>
    <x v="1"/>
  </r>
  <r>
    <n v="776"/>
    <x v="315"/>
    <s v="CUST776"/>
    <x v="0"/>
    <n v="35"/>
    <x v="1"/>
    <n v="3"/>
    <n v="30"/>
    <n v="90"/>
    <x v="2"/>
    <x v="0"/>
  </r>
  <r>
    <n v="777"/>
    <x v="156"/>
    <s v="CUST777"/>
    <x v="0"/>
    <n v="48"/>
    <x v="2"/>
    <n v="3"/>
    <n v="50"/>
    <n v="150"/>
    <x v="1"/>
    <x v="1"/>
  </r>
  <r>
    <n v="778"/>
    <x v="51"/>
    <s v="CUST778"/>
    <x v="1"/>
    <n v="47"/>
    <x v="0"/>
    <n v="4"/>
    <n v="25"/>
    <n v="100"/>
    <x v="1"/>
    <x v="0"/>
  </r>
  <r>
    <n v="779"/>
    <x v="179"/>
    <s v="CUST779"/>
    <x v="1"/>
    <n v="56"/>
    <x v="2"/>
    <n v="2"/>
    <n v="500"/>
    <n v="1000"/>
    <x v="3"/>
    <x v="2"/>
  </r>
  <r>
    <n v="780"/>
    <x v="7"/>
    <s v="CUST780"/>
    <x v="0"/>
    <n v="52"/>
    <x v="2"/>
    <n v="2"/>
    <n v="25"/>
    <n v="50"/>
    <x v="1"/>
    <x v="1"/>
  </r>
  <r>
    <n v="781"/>
    <x v="204"/>
    <s v="CUST781"/>
    <x v="0"/>
    <n v="35"/>
    <x v="0"/>
    <n v="1"/>
    <n v="500"/>
    <n v="500"/>
    <x v="2"/>
    <x v="1"/>
  </r>
  <r>
    <n v="782"/>
    <x v="234"/>
    <s v="CUST782"/>
    <x v="0"/>
    <n v="59"/>
    <x v="1"/>
    <n v="3"/>
    <n v="300"/>
    <n v="900"/>
    <x v="3"/>
    <x v="3"/>
  </r>
  <r>
    <n v="783"/>
    <x v="82"/>
    <s v="CUST783"/>
    <x v="1"/>
    <n v="56"/>
    <x v="1"/>
    <n v="1"/>
    <n v="300"/>
    <n v="300"/>
    <x v="3"/>
    <x v="1"/>
  </r>
  <r>
    <n v="784"/>
    <x v="324"/>
    <s v="CUST784"/>
    <x v="1"/>
    <n v="34"/>
    <x v="2"/>
    <n v="1"/>
    <n v="500"/>
    <n v="500"/>
    <x v="0"/>
    <x v="0"/>
  </r>
  <r>
    <n v="785"/>
    <x v="163"/>
    <s v="CUST785"/>
    <x v="1"/>
    <n v="31"/>
    <x v="0"/>
    <n v="4"/>
    <n v="50"/>
    <n v="200"/>
    <x v="0"/>
    <x v="2"/>
  </r>
  <r>
    <n v="786"/>
    <x v="222"/>
    <s v="CUST786"/>
    <x v="0"/>
    <n v="48"/>
    <x v="1"/>
    <n v="4"/>
    <n v="25"/>
    <n v="100"/>
    <x v="1"/>
    <x v="0"/>
  </r>
  <r>
    <n v="787"/>
    <x v="256"/>
    <s v="CUST787"/>
    <x v="0"/>
    <n v="41"/>
    <x v="2"/>
    <n v="1"/>
    <n v="25"/>
    <n v="25"/>
    <x v="2"/>
    <x v="1"/>
  </r>
  <r>
    <n v="788"/>
    <x v="325"/>
    <s v="CUST788"/>
    <x v="1"/>
    <n v="52"/>
    <x v="0"/>
    <n v="3"/>
    <n v="300"/>
    <n v="900"/>
    <x v="1"/>
    <x v="3"/>
  </r>
  <r>
    <n v="789"/>
    <x v="148"/>
    <s v="CUST789"/>
    <x v="1"/>
    <n v="61"/>
    <x v="1"/>
    <n v="4"/>
    <n v="500"/>
    <n v="2000"/>
    <x v="3"/>
    <x v="0"/>
  </r>
  <r>
    <n v="790"/>
    <x v="102"/>
    <s v="CUST790"/>
    <x v="0"/>
    <n v="62"/>
    <x v="1"/>
    <n v="1"/>
    <n v="25"/>
    <n v="25"/>
    <x v="3"/>
    <x v="3"/>
  </r>
  <r>
    <n v="791"/>
    <x v="59"/>
    <s v="CUST791"/>
    <x v="1"/>
    <n v="51"/>
    <x v="0"/>
    <n v="1"/>
    <n v="25"/>
    <n v="25"/>
    <x v="1"/>
    <x v="1"/>
  </r>
  <r>
    <n v="792"/>
    <x v="67"/>
    <s v="CUST792"/>
    <x v="1"/>
    <n v="20"/>
    <x v="0"/>
    <n v="1"/>
    <n v="50"/>
    <n v="50"/>
    <x v="4"/>
    <x v="3"/>
  </r>
  <r>
    <n v="793"/>
    <x v="57"/>
    <s v="CUST793"/>
    <x v="0"/>
    <n v="54"/>
    <x v="0"/>
    <n v="1"/>
    <n v="30"/>
    <n v="30"/>
    <x v="1"/>
    <x v="1"/>
  </r>
  <r>
    <n v="794"/>
    <x v="129"/>
    <s v="CUST794"/>
    <x v="1"/>
    <n v="60"/>
    <x v="0"/>
    <n v="1"/>
    <n v="300"/>
    <n v="300"/>
    <x v="3"/>
    <x v="0"/>
  </r>
  <r>
    <n v="795"/>
    <x v="73"/>
    <s v="CUST795"/>
    <x v="0"/>
    <n v="57"/>
    <x v="2"/>
    <n v="1"/>
    <n v="300"/>
    <n v="300"/>
    <x v="3"/>
    <x v="0"/>
  </r>
  <r>
    <n v="796"/>
    <x v="33"/>
    <s v="CUST796"/>
    <x v="0"/>
    <n v="43"/>
    <x v="0"/>
    <n v="4"/>
    <n v="30"/>
    <n v="120"/>
    <x v="2"/>
    <x v="3"/>
  </r>
  <r>
    <n v="797"/>
    <x v="326"/>
    <s v="CUST797"/>
    <x v="0"/>
    <n v="40"/>
    <x v="1"/>
    <n v="3"/>
    <n v="25"/>
    <n v="75"/>
    <x v="2"/>
    <x v="1"/>
  </r>
  <r>
    <n v="798"/>
    <x v="279"/>
    <s v="CUST798"/>
    <x v="0"/>
    <n v="61"/>
    <x v="1"/>
    <n v="1"/>
    <n v="50"/>
    <n v="50"/>
    <x v="3"/>
    <x v="3"/>
  </r>
  <r>
    <n v="799"/>
    <x v="140"/>
    <s v="CUST799"/>
    <x v="0"/>
    <n v="56"/>
    <x v="2"/>
    <n v="2"/>
    <n v="50"/>
    <n v="100"/>
    <x v="3"/>
    <x v="0"/>
  </r>
  <r>
    <n v="800"/>
    <x v="130"/>
    <s v="CUST800"/>
    <x v="0"/>
    <n v="32"/>
    <x v="1"/>
    <n v="4"/>
    <n v="300"/>
    <n v="1200"/>
    <x v="0"/>
    <x v="1"/>
  </r>
  <r>
    <n v="801"/>
    <x v="327"/>
    <s v="CUST801"/>
    <x v="0"/>
    <n v="21"/>
    <x v="1"/>
    <n v="4"/>
    <n v="50"/>
    <n v="200"/>
    <x v="4"/>
    <x v="3"/>
  </r>
  <r>
    <n v="802"/>
    <x v="53"/>
    <s v="CUST802"/>
    <x v="1"/>
    <n v="46"/>
    <x v="0"/>
    <n v="1"/>
    <n v="30"/>
    <n v="30"/>
    <x v="1"/>
    <x v="3"/>
  </r>
  <r>
    <n v="803"/>
    <x v="64"/>
    <s v="CUST803"/>
    <x v="0"/>
    <n v="39"/>
    <x v="1"/>
    <n v="4"/>
    <n v="25"/>
    <n v="100"/>
    <x v="2"/>
    <x v="0"/>
  </r>
  <r>
    <n v="804"/>
    <x v="44"/>
    <s v="CUST804"/>
    <x v="0"/>
    <n v="42"/>
    <x v="2"/>
    <n v="1"/>
    <n v="30"/>
    <n v="30"/>
    <x v="2"/>
    <x v="3"/>
  </r>
  <r>
    <n v="805"/>
    <x v="167"/>
    <s v="CUST805"/>
    <x v="1"/>
    <n v="30"/>
    <x v="0"/>
    <n v="3"/>
    <n v="500"/>
    <n v="1500"/>
    <x v="0"/>
    <x v="1"/>
  </r>
  <r>
    <n v="806"/>
    <x v="111"/>
    <s v="CUST806"/>
    <x v="1"/>
    <n v="35"/>
    <x v="0"/>
    <n v="3"/>
    <n v="300"/>
    <n v="900"/>
    <x v="2"/>
    <x v="2"/>
  </r>
  <r>
    <n v="807"/>
    <x v="124"/>
    <s v="CUST807"/>
    <x v="1"/>
    <n v="50"/>
    <x v="2"/>
    <n v="4"/>
    <n v="50"/>
    <n v="200"/>
    <x v="1"/>
    <x v="3"/>
  </r>
  <r>
    <n v="808"/>
    <x v="258"/>
    <s v="CUST808"/>
    <x v="0"/>
    <n v="33"/>
    <x v="0"/>
    <n v="4"/>
    <n v="500"/>
    <n v="2000"/>
    <x v="0"/>
    <x v="2"/>
  </r>
  <r>
    <n v="809"/>
    <x v="223"/>
    <s v="CUST809"/>
    <x v="1"/>
    <n v="62"/>
    <x v="0"/>
    <n v="2"/>
    <n v="50"/>
    <n v="100"/>
    <x v="3"/>
    <x v="0"/>
  </r>
  <r>
    <n v="810"/>
    <x v="198"/>
    <s v="CUST810"/>
    <x v="0"/>
    <n v="59"/>
    <x v="2"/>
    <n v="4"/>
    <n v="25"/>
    <n v="100"/>
    <x v="3"/>
    <x v="0"/>
  </r>
  <r>
    <n v="811"/>
    <x v="79"/>
    <s v="CUST811"/>
    <x v="0"/>
    <n v="61"/>
    <x v="0"/>
    <n v="2"/>
    <n v="25"/>
    <n v="50"/>
    <x v="3"/>
    <x v="2"/>
  </r>
  <r>
    <n v="812"/>
    <x v="281"/>
    <s v="CUST812"/>
    <x v="0"/>
    <n v="19"/>
    <x v="2"/>
    <n v="3"/>
    <n v="25"/>
    <n v="75"/>
    <x v="4"/>
    <x v="0"/>
  </r>
  <r>
    <n v="813"/>
    <x v="99"/>
    <s v="CUST813"/>
    <x v="0"/>
    <n v="52"/>
    <x v="2"/>
    <n v="3"/>
    <n v="50"/>
    <n v="150"/>
    <x v="1"/>
    <x v="0"/>
  </r>
  <r>
    <n v="814"/>
    <x v="328"/>
    <s v="CUST814"/>
    <x v="1"/>
    <n v="59"/>
    <x v="1"/>
    <n v="1"/>
    <n v="500"/>
    <n v="500"/>
    <x v="3"/>
    <x v="0"/>
  </r>
  <r>
    <n v="815"/>
    <x v="286"/>
    <s v="CUST815"/>
    <x v="1"/>
    <n v="51"/>
    <x v="1"/>
    <n v="3"/>
    <n v="25"/>
    <n v="75"/>
    <x v="1"/>
    <x v="3"/>
  </r>
  <r>
    <n v="816"/>
    <x v="269"/>
    <s v="CUST816"/>
    <x v="0"/>
    <n v="47"/>
    <x v="0"/>
    <n v="2"/>
    <n v="500"/>
    <n v="1000"/>
    <x v="1"/>
    <x v="3"/>
  </r>
  <r>
    <n v="817"/>
    <x v="315"/>
    <s v="CUST817"/>
    <x v="0"/>
    <n v="30"/>
    <x v="0"/>
    <n v="4"/>
    <n v="50"/>
    <n v="200"/>
    <x v="0"/>
    <x v="0"/>
  </r>
  <r>
    <n v="818"/>
    <x v="88"/>
    <s v="CUST818"/>
    <x v="0"/>
    <n v="30"/>
    <x v="2"/>
    <n v="1"/>
    <n v="500"/>
    <n v="500"/>
    <x v="0"/>
    <x v="2"/>
  </r>
  <r>
    <n v="819"/>
    <x v="139"/>
    <s v="CUST819"/>
    <x v="1"/>
    <n v="35"/>
    <x v="0"/>
    <n v="2"/>
    <n v="50"/>
    <n v="100"/>
    <x v="2"/>
    <x v="3"/>
  </r>
  <r>
    <n v="820"/>
    <x v="4"/>
    <s v="CUST820"/>
    <x v="0"/>
    <n v="49"/>
    <x v="2"/>
    <n v="4"/>
    <n v="50"/>
    <n v="200"/>
    <x v="1"/>
    <x v="2"/>
  </r>
  <r>
    <n v="821"/>
    <x v="10"/>
    <s v="CUST821"/>
    <x v="0"/>
    <n v="49"/>
    <x v="2"/>
    <n v="1"/>
    <n v="300"/>
    <n v="300"/>
    <x v="1"/>
    <x v="1"/>
  </r>
  <r>
    <n v="822"/>
    <x v="29"/>
    <s v="CUST822"/>
    <x v="1"/>
    <n v="52"/>
    <x v="0"/>
    <n v="3"/>
    <n v="50"/>
    <n v="150"/>
    <x v="1"/>
    <x v="2"/>
  </r>
  <r>
    <n v="823"/>
    <x v="304"/>
    <s v="CUST823"/>
    <x v="1"/>
    <n v="56"/>
    <x v="2"/>
    <n v="2"/>
    <n v="50"/>
    <n v="100"/>
    <x v="3"/>
    <x v="3"/>
  </r>
  <r>
    <n v="824"/>
    <x v="179"/>
    <s v="CUST824"/>
    <x v="0"/>
    <n v="63"/>
    <x v="1"/>
    <n v="4"/>
    <n v="30"/>
    <n v="120"/>
    <x v="3"/>
    <x v="2"/>
  </r>
  <r>
    <n v="825"/>
    <x v="300"/>
    <s v="CUST825"/>
    <x v="1"/>
    <n v="46"/>
    <x v="0"/>
    <n v="1"/>
    <n v="25"/>
    <n v="25"/>
    <x v="1"/>
    <x v="3"/>
  </r>
  <r>
    <n v="826"/>
    <x v="218"/>
    <s v="CUST826"/>
    <x v="1"/>
    <n v="46"/>
    <x v="1"/>
    <n v="1"/>
    <n v="300"/>
    <n v="300"/>
    <x v="1"/>
    <x v="0"/>
  </r>
  <r>
    <n v="827"/>
    <x v="289"/>
    <s v="CUST827"/>
    <x v="0"/>
    <n v="61"/>
    <x v="0"/>
    <n v="3"/>
    <n v="300"/>
    <n v="900"/>
    <x v="3"/>
    <x v="0"/>
  </r>
  <r>
    <n v="828"/>
    <x v="174"/>
    <s v="CUST828"/>
    <x v="1"/>
    <n v="33"/>
    <x v="2"/>
    <n v="4"/>
    <n v="300"/>
    <n v="1200"/>
    <x v="0"/>
    <x v="1"/>
  </r>
  <r>
    <n v="829"/>
    <x v="37"/>
    <s v="CUST829"/>
    <x v="0"/>
    <n v="61"/>
    <x v="0"/>
    <n v="3"/>
    <n v="30"/>
    <n v="90"/>
    <x v="3"/>
    <x v="3"/>
  </r>
  <r>
    <n v="830"/>
    <x v="36"/>
    <s v="CUST830"/>
    <x v="1"/>
    <n v="64"/>
    <x v="1"/>
    <n v="3"/>
    <n v="50"/>
    <n v="150"/>
    <x v="3"/>
    <x v="3"/>
  </r>
  <r>
    <n v="831"/>
    <x v="267"/>
    <s v="CUST831"/>
    <x v="0"/>
    <n v="27"/>
    <x v="2"/>
    <n v="4"/>
    <n v="25"/>
    <n v="100"/>
    <x v="0"/>
    <x v="1"/>
  </r>
  <r>
    <n v="832"/>
    <x v="296"/>
    <s v="CUST832"/>
    <x v="0"/>
    <n v="47"/>
    <x v="0"/>
    <n v="4"/>
    <n v="500"/>
    <n v="2000"/>
    <x v="1"/>
    <x v="0"/>
  </r>
  <r>
    <n v="833"/>
    <x v="83"/>
    <s v="CUST833"/>
    <x v="0"/>
    <n v="42"/>
    <x v="0"/>
    <n v="4"/>
    <n v="50"/>
    <n v="200"/>
    <x v="2"/>
    <x v="3"/>
  </r>
  <r>
    <n v="834"/>
    <x v="194"/>
    <s v="CUST834"/>
    <x v="1"/>
    <n v="56"/>
    <x v="0"/>
    <n v="2"/>
    <n v="30"/>
    <n v="60"/>
    <x v="3"/>
    <x v="2"/>
  </r>
  <r>
    <n v="835"/>
    <x v="206"/>
    <s v="CUST835"/>
    <x v="0"/>
    <n v="37"/>
    <x v="1"/>
    <n v="4"/>
    <n v="50"/>
    <n v="200"/>
    <x v="2"/>
    <x v="0"/>
  </r>
  <r>
    <n v="836"/>
    <x v="90"/>
    <s v="CUST836"/>
    <x v="1"/>
    <n v="22"/>
    <x v="1"/>
    <n v="1"/>
    <n v="50"/>
    <n v="50"/>
    <x v="4"/>
    <x v="2"/>
  </r>
  <r>
    <n v="837"/>
    <x v="68"/>
    <s v="CUST837"/>
    <x v="0"/>
    <n v="18"/>
    <x v="0"/>
    <n v="3"/>
    <n v="30"/>
    <n v="90"/>
    <x v="4"/>
    <x v="3"/>
  </r>
  <r>
    <n v="838"/>
    <x v="305"/>
    <s v="CUST838"/>
    <x v="0"/>
    <n v="47"/>
    <x v="2"/>
    <n v="2"/>
    <n v="300"/>
    <n v="600"/>
    <x v="1"/>
    <x v="2"/>
  </r>
  <r>
    <n v="839"/>
    <x v="33"/>
    <s v="CUST839"/>
    <x v="1"/>
    <n v="20"/>
    <x v="2"/>
    <n v="4"/>
    <n v="300"/>
    <n v="1200"/>
    <x v="4"/>
    <x v="3"/>
  </r>
  <r>
    <n v="840"/>
    <x v="329"/>
    <s v="CUST840"/>
    <x v="0"/>
    <n v="62"/>
    <x v="1"/>
    <n v="2"/>
    <n v="25"/>
    <n v="50"/>
    <x v="3"/>
    <x v="2"/>
  </r>
  <r>
    <n v="841"/>
    <x v="113"/>
    <s v="CUST841"/>
    <x v="0"/>
    <n v="31"/>
    <x v="2"/>
    <n v="4"/>
    <n v="25"/>
    <n v="100"/>
    <x v="0"/>
    <x v="0"/>
  </r>
  <r>
    <n v="842"/>
    <x v="24"/>
    <s v="CUST842"/>
    <x v="1"/>
    <n v="47"/>
    <x v="1"/>
    <n v="2"/>
    <n v="300"/>
    <n v="600"/>
    <x v="1"/>
    <x v="1"/>
  </r>
  <r>
    <n v="843"/>
    <x v="247"/>
    <s v="CUST843"/>
    <x v="0"/>
    <n v="21"/>
    <x v="0"/>
    <n v="3"/>
    <n v="500"/>
    <n v="1500"/>
    <x v="4"/>
    <x v="2"/>
  </r>
  <r>
    <n v="844"/>
    <x v="205"/>
    <s v="CUST844"/>
    <x v="0"/>
    <n v="35"/>
    <x v="1"/>
    <n v="3"/>
    <n v="50"/>
    <n v="150"/>
    <x v="2"/>
    <x v="0"/>
  </r>
  <r>
    <n v="845"/>
    <x v="121"/>
    <s v="CUST845"/>
    <x v="0"/>
    <n v="54"/>
    <x v="1"/>
    <n v="1"/>
    <n v="500"/>
    <n v="500"/>
    <x v="1"/>
    <x v="1"/>
  </r>
  <r>
    <n v="846"/>
    <x v="161"/>
    <s v="CUST846"/>
    <x v="0"/>
    <n v="42"/>
    <x v="0"/>
    <n v="1"/>
    <n v="50"/>
    <n v="50"/>
    <x v="2"/>
    <x v="0"/>
  </r>
  <r>
    <n v="847"/>
    <x v="181"/>
    <s v="CUST847"/>
    <x v="1"/>
    <n v="18"/>
    <x v="2"/>
    <n v="4"/>
    <n v="300"/>
    <n v="1200"/>
    <x v="4"/>
    <x v="2"/>
  </r>
  <r>
    <n v="848"/>
    <x v="146"/>
    <s v="CUST848"/>
    <x v="1"/>
    <n v="63"/>
    <x v="1"/>
    <n v="3"/>
    <n v="25"/>
    <n v="75"/>
    <x v="3"/>
    <x v="1"/>
  </r>
  <r>
    <n v="849"/>
    <x v="145"/>
    <s v="CUST849"/>
    <x v="0"/>
    <n v="32"/>
    <x v="1"/>
    <n v="2"/>
    <n v="25"/>
    <n v="50"/>
    <x v="0"/>
    <x v="2"/>
  </r>
  <r>
    <n v="850"/>
    <x v="180"/>
    <s v="CUST850"/>
    <x v="1"/>
    <n v="26"/>
    <x v="0"/>
    <n v="2"/>
    <n v="500"/>
    <n v="1000"/>
    <x v="0"/>
    <x v="3"/>
  </r>
  <r>
    <n v="851"/>
    <x v="140"/>
    <s v="CUST851"/>
    <x v="0"/>
    <n v="32"/>
    <x v="2"/>
    <n v="2"/>
    <n v="25"/>
    <n v="50"/>
    <x v="0"/>
    <x v="0"/>
  </r>
  <r>
    <n v="852"/>
    <x v="205"/>
    <s v="CUST852"/>
    <x v="1"/>
    <n v="41"/>
    <x v="1"/>
    <n v="1"/>
    <n v="300"/>
    <n v="300"/>
    <x v="2"/>
    <x v="0"/>
  </r>
  <r>
    <n v="853"/>
    <x v="145"/>
    <s v="CUST853"/>
    <x v="0"/>
    <n v="21"/>
    <x v="0"/>
    <n v="2"/>
    <n v="500"/>
    <n v="1000"/>
    <x v="4"/>
    <x v="2"/>
  </r>
  <r>
    <n v="854"/>
    <x v="156"/>
    <s v="CUST854"/>
    <x v="0"/>
    <n v="29"/>
    <x v="1"/>
    <n v="1"/>
    <n v="50"/>
    <n v="50"/>
    <x v="0"/>
    <x v="1"/>
  </r>
  <r>
    <n v="855"/>
    <x v="152"/>
    <s v="CUST855"/>
    <x v="0"/>
    <n v="54"/>
    <x v="0"/>
    <n v="1"/>
    <n v="25"/>
    <n v="25"/>
    <x v="1"/>
    <x v="0"/>
  </r>
  <r>
    <n v="856"/>
    <x v="188"/>
    <s v="CUST856"/>
    <x v="0"/>
    <n v="54"/>
    <x v="2"/>
    <n v="4"/>
    <n v="30"/>
    <n v="120"/>
    <x v="1"/>
    <x v="0"/>
  </r>
  <r>
    <n v="857"/>
    <x v="330"/>
    <s v="CUST857"/>
    <x v="0"/>
    <n v="60"/>
    <x v="2"/>
    <n v="2"/>
    <n v="25"/>
    <n v="50"/>
    <x v="3"/>
    <x v="1"/>
  </r>
  <r>
    <n v="858"/>
    <x v="331"/>
    <s v="CUST858"/>
    <x v="0"/>
    <n v="23"/>
    <x v="2"/>
    <n v="2"/>
    <n v="50"/>
    <n v="100"/>
    <x v="4"/>
    <x v="0"/>
  </r>
  <r>
    <n v="859"/>
    <x v="27"/>
    <s v="CUST859"/>
    <x v="1"/>
    <n v="56"/>
    <x v="2"/>
    <n v="3"/>
    <n v="500"/>
    <n v="1500"/>
    <x v="3"/>
    <x v="3"/>
  </r>
  <r>
    <n v="860"/>
    <x v="332"/>
    <s v="CUST860"/>
    <x v="0"/>
    <n v="63"/>
    <x v="1"/>
    <n v="4"/>
    <n v="50"/>
    <n v="200"/>
    <x v="3"/>
    <x v="1"/>
  </r>
  <r>
    <n v="861"/>
    <x v="15"/>
    <s v="CUST861"/>
    <x v="1"/>
    <n v="41"/>
    <x v="1"/>
    <n v="3"/>
    <n v="30"/>
    <n v="90"/>
    <x v="2"/>
    <x v="1"/>
  </r>
  <r>
    <n v="862"/>
    <x v="50"/>
    <s v="CUST862"/>
    <x v="0"/>
    <n v="28"/>
    <x v="2"/>
    <n v="4"/>
    <n v="300"/>
    <n v="1200"/>
    <x v="0"/>
    <x v="2"/>
  </r>
  <r>
    <n v="863"/>
    <x v="262"/>
    <s v="CUST863"/>
    <x v="1"/>
    <n v="30"/>
    <x v="2"/>
    <n v="2"/>
    <n v="25"/>
    <n v="50"/>
    <x v="0"/>
    <x v="2"/>
  </r>
  <r>
    <n v="864"/>
    <x v="282"/>
    <s v="CUST864"/>
    <x v="1"/>
    <n v="51"/>
    <x v="2"/>
    <n v="1"/>
    <n v="500"/>
    <n v="500"/>
    <x v="1"/>
    <x v="3"/>
  </r>
  <r>
    <n v="865"/>
    <x v="333"/>
    <s v="CUST865"/>
    <x v="1"/>
    <n v="42"/>
    <x v="1"/>
    <n v="1"/>
    <n v="300"/>
    <n v="300"/>
    <x v="2"/>
    <x v="1"/>
  </r>
  <r>
    <n v="866"/>
    <x v="179"/>
    <s v="CUST866"/>
    <x v="0"/>
    <n v="24"/>
    <x v="2"/>
    <n v="1"/>
    <n v="50"/>
    <n v="50"/>
    <x v="4"/>
    <x v="2"/>
  </r>
  <r>
    <n v="867"/>
    <x v="264"/>
    <s v="CUST867"/>
    <x v="0"/>
    <n v="21"/>
    <x v="2"/>
    <n v="1"/>
    <n v="500"/>
    <n v="500"/>
    <x v="4"/>
    <x v="3"/>
  </r>
  <r>
    <n v="868"/>
    <x v="237"/>
    <s v="CUST868"/>
    <x v="1"/>
    <n v="25"/>
    <x v="2"/>
    <n v="1"/>
    <n v="300"/>
    <n v="300"/>
    <x v="0"/>
    <x v="1"/>
  </r>
  <r>
    <n v="869"/>
    <x v="268"/>
    <s v="CUST869"/>
    <x v="0"/>
    <n v="37"/>
    <x v="0"/>
    <n v="3"/>
    <n v="500"/>
    <n v="1500"/>
    <x v="2"/>
    <x v="0"/>
  </r>
  <r>
    <n v="870"/>
    <x v="321"/>
    <s v="CUST870"/>
    <x v="1"/>
    <n v="46"/>
    <x v="2"/>
    <n v="4"/>
    <n v="30"/>
    <n v="120"/>
    <x v="1"/>
    <x v="3"/>
  </r>
  <r>
    <n v="871"/>
    <x v="178"/>
    <s v="CUST871"/>
    <x v="0"/>
    <n v="62"/>
    <x v="0"/>
    <n v="2"/>
    <n v="30"/>
    <n v="60"/>
    <x v="3"/>
    <x v="3"/>
  </r>
  <r>
    <n v="872"/>
    <x v="120"/>
    <s v="CUST872"/>
    <x v="1"/>
    <n v="63"/>
    <x v="0"/>
    <n v="3"/>
    <n v="25"/>
    <n v="75"/>
    <x v="3"/>
    <x v="0"/>
  </r>
  <r>
    <n v="873"/>
    <x v="136"/>
    <s v="CUST873"/>
    <x v="1"/>
    <n v="27"/>
    <x v="2"/>
    <n v="4"/>
    <n v="25"/>
    <n v="100"/>
    <x v="0"/>
    <x v="0"/>
  </r>
  <r>
    <n v="874"/>
    <x v="40"/>
    <s v="CUST874"/>
    <x v="0"/>
    <n v="60"/>
    <x v="0"/>
    <n v="1"/>
    <n v="30"/>
    <n v="30"/>
    <x v="3"/>
    <x v="3"/>
  </r>
  <r>
    <n v="875"/>
    <x v="298"/>
    <s v="CUST875"/>
    <x v="1"/>
    <n v="51"/>
    <x v="2"/>
    <n v="4"/>
    <n v="500"/>
    <n v="2000"/>
    <x v="1"/>
    <x v="3"/>
  </r>
  <r>
    <n v="876"/>
    <x v="153"/>
    <s v="CUST876"/>
    <x v="0"/>
    <n v="43"/>
    <x v="1"/>
    <n v="4"/>
    <n v="30"/>
    <n v="120"/>
    <x v="2"/>
    <x v="0"/>
  </r>
  <r>
    <n v="877"/>
    <x v="171"/>
    <s v="CUST877"/>
    <x v="1"/>
    <n v="58"/>
    <x v="1"/>
    <n v="1"/>
    <n v="25"/>
    <n v="25"/>
    <x v="3"/>
    <x v="3"/>
  </r>
  <r>
    <n v="878"/>
    <x v="313"/>
    <s v="CUST878"/>
    <x v="1"/>
    <n v="20"/>
    <x v="1"/>
    <n v="1"/>
    <n v="30"/>
    <n v="30"/>
    <x v="4"/>
    <x v="3"/>
  </r>
  <r>
    <n v="879"/>
    <x v="24"/>
    <s v="CUST879"/>
    <x v="0"/>
    <n v="23"/>
    <x v="1"/>
    <n v="1"/>
    <n v="30"/>
    <n v="30"/>
    <x v="4"/>
    <x v="1"/>
  </r>
  <r>
    <n v="880"/>
    <x v="63"/>
    <s v="CUST880"/>
    <x v="0"/>
    <n v="22"/>
    <x v="0"/>
    <n v="2"/>
    <n v="500"/>
    <n v="1000"/>
    <x v="4"/>
    <x v="3"/>
  </r>
  <r>
    <n v="881"/>
    <x v="79"/>
    <s v="CUST881"/>
    <x v="0"/>
    <n v="22"/>
    <x v="2"/>
    <n v="1"/>
    <n v="300"/>
    <n v="300"/>
    <x v="4"/>
    <x v="2"/>
  </r>
  <r>
    <n v="882"/>
    <x v="264"/>
    <s v="CUST882"/>
    <x v="1"/>
    <n v="64"/>
    <x v="2"/>
    <n v="2"/>
    <n v="25"/>
    <n v="50"/>
    <x v="3"/>
    <x v="3"/>
  </r>
  <r>
    <n v="883"/>
    <x v="119"/>
    <s v="CUST883"/>
    <x v="0"/>
    <n v="40"/>
    <x v="2"/>
    <n v="1"/>
    <n v="500"/>
    <n v="500"/>
    <x v="2"/>
    <x v="2"/>
  </r>
  <r>
    <n v="884"/>
    <x v="310"/>
    <s v="CUST884"/>
    <x v="1"/>
    <n v="26"/>
    <x v="1"/>
    <n v="2"/>
    <n v="30"/>
    <n v="60"/>
    <x v="0"/>
    <x v="2"/>
  </r>
  <r>
    <n v="885"/>
    <x v="163"/>
    <s v="CUST885"/>
    <x v="1"/>
    <n v="52"/>
    <x v="1"/>
    <n v="4"/>
    <n v="30"/>
    <n v="120"/>
    <x v="1"/>
    <x v="2"/>
  </r>
  <r>
    <n v="886"/>
    <x v="55"/>
    <s v="CUST886"/>
    <x v="0"/>
    <n v="37"/>
    <x v="2"/>
    <n v="3"/>
    <n v="300"/>
    <n v="900"/>
    <x v="2"/>
    <x v="2"/>
  </r>
  <r>
    <n v="887"/>
    <x v="86"/>
    <s v="CUST887"/>
    <x v="0"/>
    <n v="59"/>
    <x v="1"/>
    <n v="4"/>
    <n v="25"/>
    <n v="100"/>
    <x v="3"/>
    <x v="3"/>
  </r>
  <r>
    <n v="888"/>
    <x v="163"/>
    <s v="CUST888"/>
    <x v="1"/>
    <n v="52"/>
    <x v="2"/>
    <n v="4"/>
    <n v="25"/>
    <n v="100"/>
    <x v="1"/>
    <x v="2"/>
  </r>
  <r>
    <n v="889"/>
    <x v="45"/>
    <s v="CUST889"/>
    <x v="1"/>
    <n v="35"/>
    <x v="2"/>
    <n v="1"/>
    <n v="50"/>
    <n v="50"/>
    <x v="2"/>
    <x v="0"/>
  </r>
  <r>
    <n v="890"/>
    <x v="156"/>
    <s v="CUST890"/>
    <x v="0"/>
    <n v="34"/>
    <x v="2"/>
    <n v="2"/>
    <n v="25"/>
    <n v="50"/>
    <x v="0"/>
    <x v="1"/>
  </r>
  <r>
    <n v="891"/>
    <x v="334"/>
    <s v="CUST891"/>
    <x v="0"/>
    <n v="41"/>
    <x v="2"/>
    <n v="3"/>
    <n v="300"/>
    <n v="900"/>
    <x v="2"/>
    <x v="2"/>
  </r>
  <r>
    <n v="892"/>
    <x v="55"/>
    <s v="CUST892"/>
    <x v="0"/>
    <n v="20"/>
    <x v="2"/>
    <n v="1"/>
    <n v="50"/>
    <n v="50"/>
    <x v="4"/>
    <x v="2"/>
  </r>
  <r>
    <n v="893"/>
    <x v="35"/>
    <s v="CUST893"/>
    <x v="0"/>
    <n v="49"/>
    <x v="2"/>
    <n v="1"/>
    <n v="50"/>
    <n v="50"/>
    <x v="1"/>
    <x v="2"/>
  </r>
  <r>
    <n v="894"/>
    <x v="328"/>
    <s v="CUST894"/>
    <x v="0"/>
    <n v="52"/>
    <x v="2"/>
    <n v="1"/>
    <n v="30"/>
    <n v="30"/>
    <x v="1"/>
    <x v="0"/>
  </r>
  <r>
    <n v="895"/>
    <x v="247"/>
    <s v="CUST895"/>
    <x v="1"/>
    <n v="55"/>
    <x v="1"/>
    <n v="4"/>
    <n v="30"/>
    <n v="120"/>
    <x v="3"/>
    <x v="2"/>
  </r>
  <r>
    <n v="896"/>
    <x v="28"/>
    <s v="CUST896"/>
    <x v="1"/>
    <n v="30"/>
    <x v="2"/>
    <n v="2"/>
    <n v="25"/>
    <n v="50"/>
    <x v="0"/>
    <x v="0"/>
  </r>
  <r>
    <n v="897"/>
    <x v="335"/>
    <s v="CUST897"/>
    <x v="1"/>
    <n v="64"/>
    <x v="2"/>
    <n v="2"/>
    <n v="50"/>
    <n v="100"/>
    <x v="3"/>
    <x v="0"/>
  </r>
  <r>
    <n v="898"/>
    <x v="113"/>
    <s v="CUST898"/>
    <x v="1"/>
    <n v="42"/>
    <x v="1"/>
    <n v="3"/>
    <n v="30"/>
    <n v="90"/>
    <x v="2"/>
    <x v="0"/>
  </r>
  <r>
    <n v="899"/>
    <x v="242"/>
    <s v="CUST899"/>
    <x v="0"/>
    <n v="26"/>
    <x v="1"/>
    <n v="2"/>
    <n v="300"/>
    <n v="600"/>
    <x v="0"/>
    <x v="2"/>
  </r>
  <r>
    <n v="900"/>
    <x v="62"/>
    <s v="CUST900"/>
    <x v="0"/>
    <n v="21"/>
    <x v="1"/>
    <n v="2"/>
    <n v="30"/>
    <n v="60"/>
    <x v="4"/>
    <x v="1"/>
  </r>
  <r>
    <n v="901"/>
    <x v="294"/>
    <s v="CUST901"/>
    <x v="0"/>
    <n v="31"/>
    <x v="2"/>
    <n v="1"/>
    <n v="30"/>
    <n v="30"/>
    <x v="0"/>
    <x v="2"/>
  </r>
  <r>
    <n v="902"/>
    <x v="207"/>
    <s v="CUST902"/>
    <x v="1"/>
    <n v="54"/>
    <x v="0"/>
    <n v="1"/>
    <n v="50"/>
    <n v="50"/>
    <x v="1"/>
    <x v="3"/>
  </r>
  <r>
    <n v="903"/>
    <x v="60"/>
    <s v="CUST903"/>
    <x v="1"/>
    <n v="51"/>
    <x v="0"/>
    <n v="4"/>
    <n v="50"/>
    <n v="200"/>
    <x v="1"/>
    <x v="2"/>
  </r>
  <r>
    <n v="904"/>
    <x v="336"/>
    <s v="CUST904"/>
    <x v="0"/>
    <n v="28"/>
    <x v="1"/>
    <n v="1"/>
    <n v="500"/>
    <n v="500"/>
    <x v="0"/>
    <x v="3"/>
  </r>
  <r>
    <n v="905"/>
    <x v="128"/>
    <s v="CUST905"/>
    <x v="0"/>
    <n v="58"/>
    <x v="0"/>
    <n v="1"/>
    <n v="300"/>
    <n v="300"/>
    <x v="3"/>
    <x v="2"/>
  </r>
  <r>
    <n v="906"/>
    <x v="234"/>
    <s v="CUST906"/>
    <x v="1"/>
    <n v="20"/>
    <x v="1"/>
    <n v="1"/>
    <n v="50"/>
    <n v="50"/>
    <x v="4"/>
    <x v="3"/>
  </r>
  <r>
    <n v="907"/>
    <x v="199"/>
    <s v="CUST907"/>
    <x v="1"/>
    <n v="45"/>
    <x v="2"/>
    <n v="1"/>
    <n v="25"/>
    <n v="25"/>
    <x v="1"/>
    <x v="1"/>
  </r>
  <r>
    <n v="908"/>
    <x v="167"/>
    <s v="CUST908"/>
    <x v="0"/>
    <n v="46"/>
    <x v="0"/>
    <n v="4"/>
    <n v="300"/>
    <n v="1200"/>
    <x v="1"/>
    <x v="1"/>
  </r>
  <r>
    <n v="909"/>
    <x v="77"/>
    <s v="CUST909"/>
    <x v="0"/>
    <n v="26"/>
    <x v="2"/>
    <n v="1"/>
    <n v="300"/>
    <n v="300"/>
    <x v="0"/>
    <x v="0"/>
  </r>
  <r>
    <n v="910"/>
    <x v="149"/>
    <s v="CUST910"/>
    <x v="1"/>
    <n v="20"/>
    <x v="0"/>
    <n v="3"/>
    <n v="50"/>
    <n v="150"/>
    <x v="4"/>
    <x v="2"/>
  </r>
  <r>
    <n v="911"/>
    <x v="3"/>
    <s v="CUST911"/>
    <x v="0"/>
    <n v="42"/>
    <x v="2"/>
    <n v="3"/>
    <n v="300"/>
    <n v="900"/>
    <x v="2"/>
    <x v="2"/>
  </r>
  <r>
    <n v="912"/>
    <x v="58"/>
    <s v="CUST912"/>
    <x v="0"/>
    <n v="51"/>
    <x v="0"/>
    <n v="3"/>
    <n v="50"/>
    <n v="150"/>
    <x v="1"/>
    <x v="1"/>
  </r>
  <r>
    <n v="913"/>
    <x v="185"/>
    <s v="CUST913"/>
    <x v="0"/>
    <n v="29"/>
    <x v="2"/>
    <n v="3"/>
    <n v="30"/>
    <n v="90"/>
    <x v="0"/>
    <x v="1"/>
  </r>
  <r>
    <n v="914"/>
    <x v="120"/>
    <s v="CUST914"/>
    <x v="1"/>
    <n v="59"/>
    <x v="2"/>
    <n v="1"/>
    <n v="500"/>
    <n v="500"/>
    <x v="3"/>
    <x v="0"/>
  </r>
  <r>
    <n v="915"/>
    <x v="337"/>
    <s v="CUST915"/>
    <x v="1"/>
    <n v="26"/>
    <x v="0"/>
    <n v="3"/>
    <n v="30"/>
    <n v="90"/>
    <x v="0"/>
    <x v="2"/>
  </r>
  <r>
    <n v="916"/>
    <x v="32"/>
    <s v="CUST916"/>
    <x v="1"/>
    <n v="32"/>
    <x v="2"/>
    <n v="1"/>
    <n v="50"/>
    <n v="50"/>
    <x v="0"/>
    <x v="1"/>
  </r>
  <r>
    <n v="917"/>
    <x v="149"/>
    <s v="CUST917"/>
    <x v="1"/>
    <n v="57"/>
    <x v="2"/>
    <n v="4"/>
    <n v="50"/>
    <n v="200"/>
    <x v="3"/>
    <x v="2"/>
  </r>
  <r>
    <n v="918"/>
    <x v="250"/>
    <s v="CUST918"/>
    <x v="1"/>
    <n v="42"/>
    <x v="2"/>
    <n v="3"/>
    <n v="30"/>
    <n v="90"/>
    <x v="2"/>
    <x v="0"/>
  </r>
  <r>
    <n v="919"/>
    <x v="331"/>
    <s v="CUST919"/>
    <x v="1"/>
    <n v="22"/>
    <x v="0"/>
    <n v="2"/>
    <n v="25"/>
    <n v="50"/>
    <x v="4"/>
    <x v="0"/>
  </r>
  <r>
    <n v="920"/>
    <x v="7"/>
    <s v="CUST920"/>
    <x v="1"/>
    <n v="28"/>
    <x v="0"/>
    <n v="3"/>
    <n v="25"/>
    <n v="75"/>
    <x v="0"/>
    <x v="1"/>
  </r>
  <r>
    <n v="921"/>
    <x v="326"/>
    <s v="CUST921"/>
    <x v="0"/>
    <n v="51"/>
    <x v="2"/>
    <n v="3"/>
    <n v="25"/>
    <n v="75"/>
    <x v="1"/>
    <x v="1"/>
  </r>
  <r>
    <n v="922"/>
    <x v="338"/>
    <s v="CUST922"/>
    <x v="0"/>
    <n v="41"/>
    <x v="2"/>
    <n v="1"/>
    <n v="50"/>
    <n v="50"/>
    <x v="2"/>
    <x v="0"/>
  </r>
  <r>
    <n v="923"/>
    <x v="232"/>
    <s v="CUST923"/>
    <x v="0"/>
    <n v="32"/>
    <x v="0"/>
    <n v="3"/>
    <n v="300"/>
    <n v="900"/>
    <x v="0"/>
    <x v="2"/>
  </r>
  <r>
    <n v="924"/>
    <x v="261"/>
    <s v="CUST924"/>
    <x v="0"/>
    <n v="55"/>
    <x v="0"/>
    <n v="2"/>
    <n v="50"/>
    <n v="100"/>
    <x v="3"/>
    <x v="3"/>
  </r>
  <r>
    <n v="925"/>
    <x v="339"/>
    <s v="CUST925"/>
    <x v="0"/>
    <n v="25"/>
    <x v="2"/>
    <n v="1"/>
    <n v="300"/>
    <n v="300"/>
    <x v="0"/>
    <x v="0"/>
  </r>
  <r>
    <n v="926"/>
    <x v="306"/>
    <s v="CUST926"/>
    <x v="0"/>
    <n v="22"/>
    <x v="2"/>
    <n v="1"/>
    <n v="30"/>
    <n v="30"/>
    <x v="4"/>
    <x v="3"/>
  </r>
  <r>
    <n v="927"/>
    <x v="33"/>
    <s v="CUST927"/>
    <x v="0"/>
    <n v="43"/>
    <x v="2"/>
    <n v="4"/>
    <n v="500"/>
    <n v="2000"/>
    <x v="2"/>
    <x v="3"/>
  </r>
  <r>
    <n v="928"/>
    <x v="334"/>
    <s v="CUST928"/>
    <x v="1"/>
    <n v="35"/>
    <x v="1"/>
    <n v="4"/>
    <n v="300"/>
    <n v="1200"/>
    <x v="2"/>
    <x v="2"/>
  </r>
  <r>
    <n v="929"/>
    <x v="246"/>
    <s v="CUST929"/>
    <x v="1"/>
    <n v="23"/>
    <x v="0"/>
    <n v="3"/>
    <n v="25"/>
    <n v="75"/>
    <x v="4"/>
    <x v="1"/>
  </r>
  <r>
    <n v="930"/>
    <x v="318"/>
    <s v="CUST930"/>
    <x v="0"/>
    <n v="54"/>
    <x v="1"/>
    <n v="4"/>
    <n v="50"/>
    <n v="200"/>
    <x v="1"/>
    <x v="2"/>
  </r>
  <r>
    <n v="931"/>
    <x v="211"/>
    <s v="CUST931"/>
    <x v="0"/>
    <n v="30"/>
    <x v="0"/>
    <n v="4"/>
    <n v="30"/>
    <n v="120"/>
    <x v="0"/>
    <x v="0"/>
  </r>
  <r>
    <n v="932"/>
    <x v="122"/>
    <s v="CUST932"/>
    <x v="1"/>
    <n v="45"/>
    <x v="0"/>
    <n v="4"/>
    <n v="25"/>
    <n v="100"/>
    <x v="1"/>
    <x v="1"/>
  </r>
  <r>
    <n v="933"/>
    <x v="89"/>
    <s v="CUST933"/>
    <x v="0"/>
    <n v="22"/>
    <x v="0"/>
    <n v="1"/>
    <n v="30"/>
    <n v="30"/>
    <x v="4"/>
    <x v="1"/>
  </r>
  <r>
    <n v="934"/>
    <x v="87"/>
    <s v="CUST934"/>
    <x v="0"/>
    <n v="30"/>
    <x v="0"/>
    <n v="1"/>
    <n v="500"/>
    <n v="500"/>
    <x v="0"/>
    <x v="3"/>
  </r>
  <r>
    <n v="935"/>
    <x v="331"/>
    <s v="CUST935"/>
    <x v="1"/>
    <n v="34"/>
    <x v="0"/>
    <n v="1"/>
    <n v="50"/>
    <n v="50"/>
    <x v="0"/>
    <x v="0"/>
  </r>
  <r>
    <n v="936"/>
    <x v="227"/>
    <s v="CUST936"/>
    <x v="0"/>
    <n v="57"/>
    <x v="0"/>
    <n v="4"/>
    <n v="50"/>
    <n v="200"/>
    <x v="3"/>
    <x v="1"/>
  </r>
  <r>
    <n v="937"/>
    <x v="54"/>
    <s v="CUST937"/>
    <x v="1"/>
    <n v="62"/>
    <x v="0"/>
    <n v="1"/>
    <n v="500"/>
    <n v="500"/>
    <x v="3"/>
    <x v="0"/>
  </r>
  <r>
    <n v="938"/>
    <x v="292"/>
    <s v="CUST938"/>
    <x v="0"/>
    <n v="49"/>
    <x v="1"/>
    <n v="4"/>
    <n v="50"/>
    <n v="200"/>
    <x v="1"/>
    <x v="0"/>
  </r>
  <r>
    <n v="939"/>
    <x v="244"/>
    <s v="CUST939"/>
    <x v="1"/>
    <n v="46"/>
    <x v="2"/>
    <n v="1"/>
    <n v="300"/>
    <n v="300"/>
    <x v="1"/>
    <x v="1"/>
  </r>
  <r>
    <n v="940"/>
    <x v="185"/>
    <s v="CUST940"/>
    <x v="1"/>
    <n v="20"/>
    <x v="2"/>
    <n v="1"/>
    <n v="30"/>
    <n v="30"/>
    <x v="4"/>
    <x v="1"/>
  </r>
  <r>
    <n v="941"/>
    <x v="309"/>
    <s v="CUST941"/>
    <x v="1"/>
    <n v="57"/>
    <x v="1"/>
    <n v="2"/>
    <n v="25"/>
    <n v="50"/>
    <x v="3"/>
    <x v="2"/>
  </r>
  <r>
    <n v="942"/>
    <x v="253"/>
    <s v="CUST942"/>
    <x v="0"/>
    <n v="51"/>
    <x v="1"/>
    <n v="3"/>
    <n v="500"/>
    <n v="1500"/>
    <x v="1"/>
    <x v="2"/>
  </r>
  <r>
    <n v="943"/>
    <x v="230"/>
    <s v="CUST943"/>
    <x v="1"/>
    <n v="57"/>
    <x v="1"/>
    <n v="4"/>
    <n v="300"/>
    <n v="1200"/>
    <x v="3"/>
    <x v="0"/>
  </r>
  <r>
    <n v="944"/>
    <x v="284"/>
    <s v="CUST944"/>
    <x v="0"/>
    <n v="44"/>
    <x v="1"/>
    <n v="2"/>
    <n v="25"/>
    <n v="50"/>
    <x v="2"/>
    <x v="3"/>
  </r>
  <r>
    <n v="945"/>
    <x v="146"/>
    <s v="CUST945"/>
    <x v="0"/>
    <n v="30"/>
    <x v="0"/>
    <n v="1"/>
    <n v="25"/>
    <n v="25"/>
    <x v="0"/>
    <x v="1"/>
  </r>
  <r>
    <n v="946"/>
    <x v="193"/>
    <s v="CUST946"/>
    <x v="0"/>
    <n v="62"/>
    <x v="2"/>
    <n v="4"/>
    <n v="500"/>
    <n v="2000"/>
    <x v="3"/>
    <x v="2"/>
  </r>
  <r>
    <n v="947"/>
    <x v="340"/>
    <s v="CUST947"/>
    <x v="0"/>
    <n v="50"/>
    <x v="0"/>
    <n v="1"/>
    <n v="300"/>
    <n v="300"/>
    <x v="1"/>
    <x v="2"/>
  </r>
  <r>
    <n v="948"/>
    <x v="81"/>
    <s v="CUST948"/>
    <x v="1"/>
    <n v="23"/>
    <x v="2"/>
    <n v="3"/>
    <n v="25"/>
    <n v="75"/>
    <x v="4"/>
    <x v="0"/>
  </r>
  <r>
    <n v="949"/>
    <x v="341"/>
    <s v="CUST949"/>
    <x v="1"/>
    <n v="41"/>
    <x v="2"/>
    <n v="2"/>
    <n v="25"/>
    <n v="50"/>
    <x v="2"/>
    <x v="3"/>
  </r>
  <r>
    <n v="950"/>
    <x v="155"/>
    <s v="CUST950"/>
    <x v="0"/>
    <n v="36"/>
    <x v="1"/>
    <n v="3"/>
    <n v="300"/>
    <n v="900"/>
    <x v="2"/>
    <x v="0"/>
  </r>
  <r>
    <n v="951"/>
    <x v="113"/>
    <s v="CUST951"/>
    <x v="0"/>
    <n v="33"/>
    <x v="0"/>
    <n v="2"/>
    <n v="50"/>
    <n v="100"/>
    <x v="0"/>
    <x v="0"/>
  </r>
  <r>
    <n v="952"/>
    <x v="52"/>
    <s v="CUST952"/>
    <x v="1"/>
    <n v="57"/>
    <x v="1"/>
    <n v="1"/>
    <n v="25"/>
    <n v="25"/>
    <x v="3"/>
    <x v="0"/>
  </r>
  <r>
    <n v="953"/>
    <x v="164"/>
    <s v="CUST953"/>
    <x v="0"/>
    <n v="45"/>
    <x v="0"/>
    <n v="3"/>
    <n v="30"/>
    <n v="90"/>
    <x v="1"/>
    <x v="2"/>
  </r>
  <r>
    <n v="954"/>
    <x v="223"/>
    <s v="CUST954"/>
    <x v="1"/>
    <n v="50"/>
    <x v="2"/>
    <n v="3"/>
    <n v="300"/>
    <n v="900"/>
    <x v="1"/>
    <x v="0"/>
  </r>
  <r>
    <n v="955"/>
    <x v="37"/>
    <s v="CUST955"/>
    <x v="0"/>
    <n v="58"/>
    <x v="1"/>
    <n v="1"/>
    <n v="25"/>
    <n v="25"/>
    <x v="3"/>
    <x v="3"/>
  </r>
  <r>
    <n v="956"/>
    <x v="304"/>
    <s v="CUST956"/>
    <x v="0"/>
    <n v="30"/>
    <x v="1"/>
    <n v="3"/>
    <n v="500"/>
    <n v="1500"/>
    <x v="0"/>
    <x v="3"/>
  </r>
  <r>
    <n v="957"/>
    <x v="196"/>
    <s v="CUST957"/>
    <x v="1"/>
    <n v="60"/>
    <x v="2"/>
    <n v="4"/>
    <n v="30"/>
    <n v="120"/>
    <x v="3"/>
    <x v="3"/>
  </r>
  <r>
    <n v="958"/>
    <x v="132"/>
    <s v="CUST958"/>
    <x v="0"/>
    <n v="62"/>
    <x v="2"/>
    <n v="2"/>
    <n v="25"/>
    <n v="50"/>
    <x v="3"/>
    <x v="3"/>
  </r>
  <r>
    <n v="959"/>
    <x v="28"/>
    <s v="CUST959"/>
    <x v="1"/>
    <n v="42"/>
    <x v="2"/>
    <n v="2"/>
    <n v="30"/>
    <n v="60"/>
    <x v="2"/>
    <x v="0"/>
  </r>
  <r>
    <n v="960"/>
    <x v="102"/>
    <s v="CUST960"/>
    <x v="0"/>
    <n v="59"/>
    <x v="1"/>
    <n v="2"/>
    <n v="30"/>
    <n v="60"/>
    <x v="3"/>
    <x v="3"/>
  </r>
  <r>
    <n v="961"/>
    <x v="264"/>
    <s v="CUST961"/>
    <x v="0"/>
    <n v="53"/>
    <x v="0"/>
    <n v="4"/>
    <n v="50"/>
    <n v="200"/>
    <x v="1"/>
    <x v="3"/>
  </r>
  <r>
    <n v="962"/>
    <x v="218"/>
    <s v="CUST962"/>
    <x v="0"/>
    <n v="44"/>
    <x v="1"/>
    <n v="2"/>
    <n v="30"/>
    <n v="60"/>
    <x v="2"/>
    <x v="0"/>
  </r>
  <r>
    <n v="963"/>
    <x v="220"/>
    <s v="CUST963"/>
    <x v="1"/>
    <n v="55"/>
    <x v="0"/>
    <n v="1"/>
    <n v="50"/>
    <n v="50"/>
    <x v="3"/>
    <x v="0"/>
  </r>
  <r>
    <n v="964"/>
    <x v="169"/>
    <s v="CUST964"/>
    <x v="0"/>
    <n v="24"/>
    <x v="1"/>
    <n v="3"/>
    <n v="300"/>
    <n v="900"/>
    <x v="4"/>
    <x v="1"/>
  </r>
  <r>
    <n v="965"/>
    <x v="289"/>
    <s v="CUST965"/>
    <x v="0"/>
    <n v="22"/>
    <x v="1"/>
    <n v="4"/>
    <n v="50"/>
    <n v="200"/>
    <x v="4"/>
    <x v="0"/>
  </r>
  <r>
    <n v="966"/>
    <x v="189"/>
    <s v="CUST966"/>
    <x v="0"/>
    <n v="60"/>
    <x v="2"/>
    <n v="2"/>
    <n v="500"/>
    <n v="1000"/>
    <x v="3"/>
    <x v="1"/>
  </r>
  <r>
    <n v="967"/>
    <x v="342"/>
    <s v="CUST967"/>
    <x v="0"/>
    <n v="62"/>
    <x v="0"/>
    <n v="1"/>
    <n v="25"/>
    <n v="25"/>
    <x v="3"/>
    <x v="2"/>
  </r>
  <r>
    <n v="968"/>
    <x v="131"/>
    <s v="CUST968"/>
    <x v="1"/>
    <n v="48"/>
    <x v="1"/>
    <n v="3"/>
    <n v="300"/>
    <n v="900"/>
    <x v="1"/>
    <x v="0"/>
  </r>
  <r>
    <n v="969"/>
    <x v="90"/>
    <s v="CUST969"/>
    <x v="1"/>
    <n v="40"/>
    <x v="1"/>
    <n v="3"/>
    <n v="300"/>
    <n v="900"/>
    <x v="2"/>
    <x v="2"/>
  </r>
  <r>
    <n v="970"/>
    <x v="42"/>
    <s v="CUST970"/>
    <x v="0"/>
    <n v="59"/>
    <x v="2"/>
    <n v="4"/>
    <n v="500"/>
    <n v="2000"/>
    <x v="3"/>
    <x v="2"/>
  </r>
  <r>
    <n v="971"/>
    <x v="59"/>
    <s v="CUST971"/>
    <x v="1"/>
    <n v="27"/>
    <x v="2"/>
    <n v="4"/>
    <n v="50"/>
    <n v="200"/>
    <x v="0"/>
    <x v="1"/>
  </r>
  <r>
    <n v="972"/>
    <x v="213"/>
    <s v="CUST972"/>
    <x v="0"/>
    <n v="49"/>
    <x v="0"/>
    <n v="4"/>
    <n v="25"/>
    <n v="100"/>
    <x v="1"/>
    <x v="1"/>
  </r>
  <r>
    <n v="973"/>
    <x v="125"/>
    <s v="CUST973"/>
    <x v="0"/>
    <n v="60"/>
    <x v="1"/>
    <n v="1"/>
    <n v="50"/>
    <n v="50"/>
    <x v="3"/>
    <x v="2"/>
  </r>
  <r>
    <n v="974"/>
    <x v="143"/>
    <s v="CUST974"/>
    <x v="0"/>
    <n v="47"/>
    <x v="0"/>
    <n v="1"/>
    <n v="30"/>
    <n v="30"/>
    <x v="1"/>
    <x v="2"/>
  </r>
  <r>
    <n v="975"/>
    <x v="343"/>
    <s v="CUST975"/>
    <x v="1"/>
    <n v="56"/>
    <x v="1"/>
    <n v="4"/>
    <n v="50"/>
    <n v="200"/>
    <x v="3"/>
    <x v="2"/>
  </r>
  <r>
    <n v="976"/>
    <x v="49"/>
    <s v="CUST976"/>
    <x v="1"/>
    <n v="48"/>
    <x v="0"/>
    <n v="2"/>
    <n v="300"/>
    <n v="600"/>
    <x v="1"/>
    <x v="0"/>
  </r>
  <r>
    <n v="977"/>
    <x v="195"/>
    <s v="CUST977"/>
    <x v="1"/>
    <n v="35"/>
    <x v="2"/>
    <n v="3"/>
    <n v="25"/>
    <n v="75"/>
    <x v="2"/>
    <x v="1"/>
  </r>
  <r>
    <n v="978"/>
    <x v="125"/>
    <s v="CUST978"/>
    <x v="1"/>
    <n v="53"/>
    <x v="1"/>
    <n v="3"/>
    <n v="50"/>
    <n v="150"/>
    <x v="1"/>
    <x v="2"/>
  </r>
  <r>
    <n v="979"/>
    <x v="126"/>
    <s v="CUST979"/>
    <x v="1"/>
    <n v="19"/>
    <x v="0"/>
    <n v="1"/>
    <n v="25"/>
    <n v="25"/>
    <x v="4"/>
    <x v="1"/>
  </r>
  <r>
    <n v="980"/>
    <x v="277"/>
    <s v="CUST980"/>
    <x v="1"/>
    <n v="31"/>
    <x v="2"/>
    <n v="3"/>
    <n v="25"/>
    <n v="75"/>
    <x v="0"/>
    <x v="3"/>
  </r>
  <r>
    <n v="981"/>
    <x v="304"/>
    <s v="CUST981"/>
    <x v="1"/>
    <n v="30"/>
    <x v="2"/>
    <n v="2"/>
    <n v="30"/>
    <n v="60"/>
    <x v="0"/>
    <x v="3"/>
  </r>
  <r>
    <n v="982"/>
    <x v="80"/>
    <s v="CUST982"/>
    <x v="1"/>
    <n v="46"/>
    <x v="0"/>
    <n v="3"/>
    <n v="30"/>
    <n v="90"/>
    <x v="1"/>
    <x v="1"/>
  </r>
  <r>
    <n v="983"/>
    <x v="215"/>
    <s v="CUST983"/>
    <x v="1"/>
    <n v="29"/>
    <x v="1"/>
    <n v="1"/>
    <n v="300"/>
    <n v="300"/>
    <x v="0"/>
    <x v="0"/>
  </r>
  <r>
    <n v="984"/>
    <x v="261"/>
    <s v="CUST984"/>
    <x v="0"/>
    <n v="56"/>
    <x v="1"/>
    <n v="1"/>
    <n v="500"/>
    <n v="500"/>
    <x v="3"/>
    <x v="3"/>
  </r>
  <r>
    <n v="985"/>
    <x v="337"/>
    <s v="CUST985"/>
    <x v="1"/>
    <n v="19"/>
    <x v="2"/>
    <n v="2"/>
    <n v="25"/>
    <n v="50"/>
    <x v="4"/>
    <x v="2"/>
  </r>
  <r>
    <n v="986"/>
    <x v="13"/>
    <s v="CUST986"/>
    <x v="1"/>
    <n v="49"/>
    <x v="1"/>
    <n v="2"/>
    <n v="500"/>
    <n v="1000"/>
    <x v="1"/>
    <x v="1"/>
  </r>
  <r>
    <n v="987"/>
    <x v="310"/>
    <s v="CUST987"/>
    <x v="1"/>
    <n v="30"/>
    <x v="1"/>
    <n v="3"/>
    <n v="300"/>
    <n v="900"/>
    <x v="0"/>
    <x v="2"/>
  </r>
  <r>
    <n v="988"/>
    <x v="344"/>
    <s v="CUST988"/>
    <x v="1"/>
    <n v="63"/>
    <x v="1"/>
    <n v="3"/>
    <n v="25"/>
    <n v="75"/>
    <x v="3"/>
    <x v="2"/>
  </r>
  <r>
    <n v="989"/>
    <x v="251"/>
    <s v="CUST989"/>
    <x v="1"/>
    <n v="44"/>
    <x v="2"/>
    <n v="1"/>
    <n v="25"/>
    <n v="25"/>
    <x v="2"/>
    <x v="1"/>
  </r>
  <r>
    <n v="990"/>
    <x v="242"/>
    <s v="CUST990"/>
    <x v="1"/>
    <n v="58"/>
    <x v="0"/>
    <n v="2"/>
    <n v="500"/>
    <n v="1000"/>
    <x v="3"/>
    <x v="2"/>
  </r>
  <r>
    <n v="991"/>
    <x v="24"/>
    <s v="CUST991"/>
    <x v="1"/>
    <n v="34"/>
    <x v="1"/>
    <n v="2"/>
    <n v="50"/>
    <n v="100"/>
    <x v="0"/>
    <x v="1"/>
  </r>
  <r>
    <n v="992"/>
    <x v="63"/>
    <s v="CUST992"/>
    <x v="1"/>
    <n v="57"/>
    <x v="2"/>
    <n v="2"/>
    <n v="30"/>
    <n v="60"/>
    <x v="3"/>
    <x v="3"/>
  </r>
  <r>
    <n v="993"/>
    <x v="74"/>
    <s v="CUST993"/>
    <x v="1"/>
    <n v="48"/>
    <x v="2"/>
    <n v="3"/>
    <n v="50"/>
    <n v="150"/>
    <x v="1"/>
    <x v="1"/>
  </r>
  <r>
    <n v="994"/>
    <x v="244"/>
    <s v="CUST994"/>
    <x v="1"/>
    <n v="51"/>
    <x v="0"/>
    <n v="2"/>
    <n v="500"/>
    <n v="1000"/>
    <x v="1"/>
    <x v="1"/>
  </r>
  <r>
    <n v="995"/>
    <x v="17"/>
    <s v="CUST995"/>
    <x v="1"/>
    <n v="41"/>
    <x v="1"/>
    <n v="1"/>
    <n v="30"/>
    <n v="30"/>
    <x v="2"/>
    <x v="2"/>
  </r>
  <r>
    <n v="996"/>
    <x v="42"/>
    <s v="CUST996"/>
    <x v="0"/>
    <n v="62"/>
    <x v="1"/>
    <n v="1"/>
    <n v="50"/>
    <n v="50"/>
    <x v="3"/>
    <x v="2"/>
  </r>
  <r>
    <n v="997"/>
    <x v="131"/>
    <s v="CUST997"/>
    <x v="0"/>
    <n v="52"/>
    <x v="0"/>
    <n v="3"/>
    <n v="30"/>
    <n v="90"/>
    <x v="1"/>
    <x v="0"/>
  </r>
  <r>
    <n v="998"/>
    <x v="28"/>
    <s v="CUST998"/>
    <x v="1"/>
    <n v="23"/>
    <x v="0"/>
    <n v="4"/>
    <n v="25"/>
    <n v="100"/>
    <x v="4"/>
    <x v="0"/>
  </r>
  <r>
    <n v="999"/>
    <x v="59"/>
    <s v="CUST999"/>
    <x v="1"/>
    <n v="36"/>
    <x v="2"/>
    <n v="3"/>
    <n v="50"/>
    <n v="150"/>
    <x v="2"/>
    <x v="1"/>
  </r>
  <r>
    <n v="1000"/>
    <x v="22"/>
    <s v="CUST1000"/>
    <x v="0"/>
    <n v="47"/>
    <x v="2"/>
    <n v="4"/>
    <n v="30"/>
    <n v="120"/>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FC2BDA-8F23-CF44-A5A7-39B2774C037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38:C42" firstHeaderRow="1" firstDataRow="1" firstDataCol="1"/>
  <pivotFields count="14">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numFmtId="1"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numFmtId="1" showAll="0"/>
    <pivotField numFmtId="164" showAll="0"/>
    <pivotField dataField="1" numFmtId="164" showAll="0"/>
    <pivotField showAll="0">
      <items count="6">
        <item x="4"/>
        <item x="0"/>
        <item x="2"/>
        <item x="1"/>
        <item x="3"/>
        <item t="default"/>
      </items>
    </pivotField>
    <pivotField showAll="0">
      <items count="5">
        <item x="0"/>
        <item x="2"/>
        <item x="3"/>
        <item x="1"/>
        <item t="default"/>
      </items>
    </pivotField>
    <pivotField showAll="0" defaultSubtotal="0"/>
    <pivotField showAll="0" defaultSubtotal="0"/>
    <pivotField showAll="0" defaultSubtotal="0">
      <items count="4">
        <item x="0"/>
        <item x="1"/>
        <item x="2"/>
        <item x="3"/>
      </items>
    </pivotField>
  </pivotFields>
  <rowFields count="1">
    <field x="5"/>
  </rowFields>
  <rowItems count="4">
    <i>
      <x v="2"/>
    </i>
    <i>
      <x v="1"/>
    </i>
    <i>
      <x/>
    </i>
    <i t="grand">
      <x/>
    </i>
  </rowItems>
  <colItems count="1">
    <i/>
  </colItems>
  <dataFields count="1">
    <dataField name="Sum of Total Amount" fld="8" baseField="0" baseItem="0" numFmtId="164"/>
  </dataFields>
  <formats count="2">
    <format dxfId="5">
      <pivotArea collapsedLevelsAreSubtotals="1" fieldPosition="0">
        <references count="1">
          <reference field="5" count="0"/>
        </references>
      </pivotArea>
    </format>
    <format dxfId="6">
      <pivotArea grandRow="1"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5" count="1" selected="0">
            <x v="2"/>
          </reference>
        </references>
      </pivotArea>
    </chartFormat>
    <chartFormat chart="7" format="7">
      <pivotArea type="data" outline="0" fieldPosition="0">
        <references count="2">
          <reference field="4294967294" count="1" selected="0">
            <x v="0"/>
          </reference>
          <reference field="5" count="1" selected="0">
            <x v="1"/>
          </reference>
        </references>
      </pivotArea>
    </chartFormat>
    <chartFormat chart="7" format="8">
      <pivotArea type="data" outline="0" fieldPosition="0">
        <references count="2">
          <reference field="4294967294" count="1" selected="0">
            <x v="0"/>
          </reference>
          <reference field="5" count="1" selected="0">
            <x v="0"/>
          </reference>
        </references>
      </pivotArea>
    </chartFormat>
    <chartFormat chart="0" format="1">
      <pivotArea type="data" outline="0" fieldPosition="0">
        <references count="2">
          <reference field="4294967294" count="1" selected="0">
            <x v="0"/>
          </reference>
          <reference field="5" count="1" selected="0">
            <x v="2"/>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CA67DA-7C3E-C34F-8AEA-1B25DEAF1AB5}"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B5:E12" firstHeaderRow="1" firstDataRow="2" firstDataCol="1"/>
  <pivotFields count="14">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axis="axisCol" showAll="0">
      <items count="3">
        <item x="1"/>
        <item x="0"/>
        <item t="default"/>
      </items>
    </pivotField>
    <pivotField numFmtId="1" showAll="0"/>
    <pivotField showAll="0">
      <items count="4">
        <item x="0"/>
        <item x="1"/>
        <item x="2"/>
        <item t="default"/>
      </items>
    </pivotField>
    <pivotField numFmtId="1" showAll="0"/>
    <pivotField numFmtId="164" showAll="0"/>
    <pivotField dataField="1" numFmtId="164" showAll="0"/>
    <pivotField axis="axisRow" showAll="0">
      <items count="6">
        <item x="4"/>
        <item x="0"/>
        <item x="2"/>
        <item x="1"/>
        <item x="3"/>
        <item t="default"/>
      </items>
    </pivotField>
    <pivotField showAll="0">
      <items count="5">
        <item x="0"/>
        <item x="2"/>
        <item x="3"/>
        <item x="1"/>
        <item t="default"/>
      </items>
    </pivotField>
    <pivotField showAll="0">
      <items count="15">
        <item h="1" x="0"/>
        <item h="1" x="1"/>
        <item h="1" x="2"/>
        <item h="1" x="3"/>
        <item h="1" x="4"/>
        <item h="1" x="5"/>
        <item h="1" x="6"/>
        <item h="1" x="7"/>
        <item h="1" x="8"/>
        <item h="1" x="9"/>
        <item h="1" x="10"/>
        <item h="1" x="11"/>
        <item x="12"/>
        <item h="1"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6">
    <i>
      <x/>
    </i>
    <i>
      <x v="1"/>
    </i>
    <i>
      <x v="2"/>
    </i>
    <i>
      <x v="3"/>
    </i>
    <i>
      <x v="4"/>
    </i>
    <i t="grand">
      <x/>
    </i>
  </rowItems>
  <colFields count="1">
    <field x="3"/>
  </colFields>
  <colItems count="3">
    <i>
      <x/>
    </i>
    <i>
      <x v="1"/>
    </i>
    <i t="grand">
      <x/>
    </i>
  </colItems>
  <dataFields count="1">
    <dataField name="Sum of Total Amount" fld="8" baseField="0" baseItem="0" numFmtId="165"/>
  </dataFields>
  <chartFormats count="5">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1">
          <reference field="4294967294" count="1" selected="0">
            <x v="0"/>
          </reference>
        </references>
      </pivotArea>
    </chartFormat>
    <chartFormat chart="12" format="5" series="1">
      <pivotArea type="data" outline="0" fieldPosition="0">
        <references count="2">
          <reference field="4294967294" count="1" selected="0">
            <x v="0"/>
          </reference>
          <reference field="3" count="1" selected="0">
            <x v="0"/>
          </reference>
        </references>
      </pivotArea>
    </chartFormat>
    <chartFormat chart="12" format="6"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1" type="dateBetween" evalOrder="-1" id="12" name="Date">
      <autoFilter ref="A1">
        <filterColumn colId="0">
          <customFilters and="1">
            <customFilter operator="greaterThanOrEqual" val="44986"/>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FCF40F-873D-AA46-86EB-49177E0BF4F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19:C32" firstHeaderRow="1" firstDataRow="1" firstDataCol="1"/>
  <pivotFields count="14">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numFmtId="1" showAll="0"/>
    <pivotField showAll="0">
      <items count="4">
        <item x="0"/>
        <item x="1"/>
        <item x="2"/>
        <item t="default"/>
      </items>
    </pivotField>
    <pivotField numFmtId="1" showAll="0"/>
    <pivotField numFmtId="164" showAll="0"/>
    <pivotField dataField="1" numFmtId="164" showAll="0"/>
    <pivotField showAll="0">
      <items count="6">
        <item x="4"/>
        <item x="0"/>
        <item x="2"/>
        <item x="1"/>
        <item x="3"/>
        <item t="default"/>
      </items>
    </pivotField>
    <pivotField showAll="0">
      <items count="5">
        <item x="0"/>
        <item x="2"/>
        <item x="3"/>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Total Amount" fld="8" baseField="0" baseItem="0" numFmtId="165"/>
  </dataFields>
  <chartFormats count="8">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1" count="1" selected="0">
            <x v="12"/>
          </reference>
        </references>
      </pivotArea>
    </chartFormat>
    <chartFormat chart="8" format="4">
      <pivotArea type="data" outline="0" fieldPosition="0">
        <references count="2">
          <reference field="4294967294" count="1" selected="0">
            <x v="0"/>
          </reference>
          <reference field="11" count="1" selected="0">
            <x v="10"/>
          </reference>
        </references>
      </pivotArea>
    </chartFormat>
    <chartFormat chart="8" format="5">
      <pivotArea type="data" outline="0" fieldPosition="0">
        <references count="2">
          <reference field="4294967294" count="1" selected="0">
            <x v="0"/>
          </reference>
          <reference field="11" count="1" selected="0">
            <x v="8"/>
          </reference>
        </references>
      </pivotArea>
    </chartFormat>
    <chartFormat chart="8" format="6">
      <pivotArea type="data" outline="0" fieldPosition="0">
        <references count="2">
          <reference field="4294967294" count="1" selected="0">
            <x v="0"/>
          </reference>
          <reference field="11" count="1" selected="0">
            <x v="5"/>
          </reference>
        </references>
      </pivotArea>
    </chartFormat>
    <chartFormat chart="8" format="7">
      <pivotArea type="data" outline="0" fieldPosition="0">
        <references count="2">
          <reference field="4294967294" count="1" selected="0">
            <x v="0"/>
          </reference>
          <reference field="11" count="1" selected="0">
            <x v="2"/>
          </reference>
        </references>
      </pivotArea>
    </chartFormat>
    <chartFormat chart="8" format="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564B7D-7DFD-7243-B660-B38A0C50929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91:K92" firstHeaderRow="0" firstDataRow="1" firstDataCol="0"/>
  <pivotFields count="14">
    <pivotField dataField="1"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numFmtId="1" showAll="0"/>
    <pivotField showAll="0">
      <items count="4">
        <item x="0"/>
        <item x="1"/>
        <item x="2"/>
        <item t="default"/>
      </items>
    </pivotField>
    <pivotField dataField="1" numFmtId="1" showAll="0"/>
    <pivotField numFmtId="164" showAll="0"/>
    <pivotField dataField="1" numFmtId="164" showAll="0"/>
    <pivotField showAll="0">
      <items count="6">
        <item x="4"/>
        <item x="0"/>
        <item x="2"/>
        <item x="1"/>
        <item x="3"/>
        <item t="default"/>
      </items>
    </pivotField>
    <pivotField showAll="0">
      <items count="5">
        <item x="0"/>
        <item x="2"/>
        <item x="3"/>
        <item x="1"/>
        <item t="default"/>
      </items>
    </pivotField>
    <pivotField showAll="0" defaultSubtotal="0"/>
    <pivotField showAll="0" defaultSubtotal="0"/>
    <pivotField showAll="0" defaultSubtotal="0">
      <items count="4">
        <item x="0"/>
        <item x="1"/>
        <item x="2"/>
        <item x="3"/>
      </items>
    </pivotField>
  </pivotFields>
  <rowItems count="1">
    <i/>
  </rowItems>
  <colFields count="1">
    <field x="-2"/>
  </colFields>
  <colItems count="4">
    <i>
      <x/>
    </i>
    <i i="1">
      <x v="1"/>
    </i>
    <i i="2">
      <x v="2"/>
    </i>
    <i i="3">
      <x v="3"/>
    </i>
  </colItems>
  <dataFields count="4">
    <dataField name="Sum of Total Amount" fld="8" baseField="0" baseItem="0" numFmtId="164"/>
    <dataField name="Sum of Quantity" fld="6" baseField="0" baseItem="0" numFmtId="1"/>
    <dataField name="Count of Quantity" fld="6" subtotal="count" baseField="0" baseItem="0" numFmtId="1"/>
    <dataField name="Count of Transaction ID" fld="0" subtotal="count" baseField="0" baseItem="0" numFmtId="1"/>
  </dataFields>
  <formats count="2">
    <format dxfId="0">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08F582-5556-A540-AD12-625AA81F7FC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69:F75" firstHeaderRow="1" firstDataRow="2" firstDataCol="1"/>
  <pivotFields count="14">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numFmtId="1" showAll="0"/>
    <pivotField axis="axisCol" showAll="0">
      <items count="4">
        <item x="0"/>
        <item x="1"/>
        <item x="2"/>
        <item t="default"/>
      </items>
    </pivotField>
    <pivotField numFmtId="1" showAll="0"/>
    <pivotField numFmtId="164" showAll="0"/>
    <pivotField dataField="1" numFmtId="164" showAll="0"/>
    <pivotField showAll="0">
      <items count="6">
        <item x="4"/>
        <item x="0"/>
        <item x="2"/>
        <item x="1"/>
        <item x="3"/>
        <item t="default"/>
      </items>
    </pivotField>
    <pivotField axis="axisRow" showAll="0">
      <items count="5">
        <item x="1"/>
        <item x="2"/>
        <item x="3"/>
        <item x="0"/>
        <item t="default"/>
      </items>
    </pivotField>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x="0"/>
        <item x="1"/>
        <item x="2"/>
        <item x="3"/>
      </items>
    </pivotField>
  </pivotFields>
  <rowFields count="1">
    <field x="10"/>
  </rowFields>
  <rowItems count="5">
    <i>
      <x/>
    </i>
    <i>
      <x v="1"/>
    </i>
    <i>
      <x v="2"/>
    </i>
    <i>
      <x v="3"/>
    </i>
    <i t="grand">
      <x/>
    </i>
  </rowItems>
  <colFields count="1">
    <field x="5"/>
  </colFields>
  <colItems count="4">
    <i>
      <x/>
    </i>
    <i>
      <x v="1"/>
    </i>
    <i>
      <x v="2"/>
    </i>
    <i t="grand">
      <x/>
    </i>
  </colItems>
  <dataFields count="1">
    <dataField name="Sum of Total Amount" fld="8" baseField="0" baseItem="0" numFmtId="165"/>
  </dataFields>
  <formats count="1">
    <format dxfId="2">
      <pivotArea outline="0" collapsedLevelsAreSubtotals="1" fieldPosition="0"/>
    </format>
  </formats>
  <chartFormats count="7">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9" format="6" series="1">
      <pivotArea type="data" outline="0" fieldPosition="0">
        <references count="2">
          <reference field="4294967294" count="1" selected="0">
            <x v="0"/>
          </reference>
          <reference field="5" count="1" selected="0">
            <x v="0"/>
          </reference>
        </references>
      </pivotArea>
    </chartFormat>
    <chartFormat chart="9" format="7" series="1">
      <pivotArea type="data" outline="0" fieldPosition="0">
        <references count="2">
          <reference field="4294967294" count="1" selected="0">
            <x v="0"/>
          </reference>
          <reference field="5" count="1" selected="0">
            <x v="1"/>
          </reference>
        </references>
      </pivotArea>
    </chartFormat>
    <chartFormat chart="9" format="8" series="1">
      <pivotArea type="data" outline="0" fieldPosition="0">
        <references count="2">
          <reference field="4294967294" count="1" selected="0">
            <x v="0"/>
          </reference>
          <reference field="5" count="1" selected="0">
            <x v="2"/>
          </reference>
        </references>
      </pivotArea>
    </chartFormat>
    <chartFormat chart="9" format="9">
      <pivotArea type="data" outline="0" fieldPosition="0">
        <references count="3">
          <reference field="4294967294" count="1" selected="0">
            <x v="0"/>
          </reference>
          <reference field="5"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2F6ABB-60F8-F04F-85FC-CBA6122F209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B53:F60" firstHeaderRow="1" firstDataRow="2" firstDataCol="1"/>
  <pivotFields count="14">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numFmtId="1" showAll="0"/>
    <pivotField axis="axisCol" showAll="0">
      <items count="4">
        <item x="0"/>
        <item x="1"/>
        <item x="2"/>
        <item t="default"/>
      </items>
    </pivotField>
    <pivotField numFmtId="1" showAll="0"/>
    <pivotField numFmtId="164" showAll="0"/>
    <pivotField dataField="1" numFmtId="164" showAll="0"/>
    <pivotField axis="axisRow" showAll="0">
      <items count="6">
        <item x="4"/>
        <item x="0"/>
        <item x="2"/>
        <item x="1"/>
        <item x="3"/>
        <item t="default"/>
      </items>
    </pivotField>
    <pivotField showAll="0">
      <items count="5">
        <item x="0"/>
        <item x="2"/>
        <item x="3"/>
        <item x="1"/>
        <item t="default"/>
      </items>
    </pivotField>
    <pivotField showAll="0" defaultSubtotal="0"/>
    <pivotField showAll="0" defaultSubtotal="0"/>
    <pivotField showAll="0" defaultSubtotal="0">
      <items count="4">
        <item x="0"/>
        <item x="1"/>
        <item x="2"/>
        <item x="3"/>
      </items>
    </pivotField>
  </pivotFields>
  <rowFields count="1">
    <field x="9"/>
  </rowFields>
  <rowItems count="6">
    <i>
      <x/>
    </i>
    <i>
      <x v="1"/>
    </i>
    <i>
      <x v="2"/>
    </i>
    <i>
      <x v="3"/>
    </i>
    <i>
      <x v="4"/>
    </i>
    <i t="grand">
      <x/>
    </i>
  </rowItems>
  <colFields count="1">
    <field x="5"/>
  </colFields>
  <colItems count="4">
    <i>
      <x/>
    </i>
    <i>
      <x v="1"/>
    </i>
    <i>
      <x v="2"/>
    </i>
    <i t="grand">
      <x/>
    </i>
  </colItems>
  <dataFields count="1">
    <dataField name="Sum of Total Amount" fld="8" baseField="0" baseItem="0" numFmtId="164"/>
  </dataFields>
  <formats count="2">
    <format dxfId="3">
      <pivotArea collapsedLevelsAreSubtotals="1" fieldPosition="0">
        <references count="1">
          <reference field="9" count="0"/>
        </references>
      </pivotArea>
    </format>
    <format dxfId="4">
      <pivotArea grandRow="1" outline="0" collapsedLevelsAreSubtotals="1" fieldPosition="0"/>
    </format>
  </formats>
  <chartFormats count="6">
    <chartFormat chart="9" format="0" series="1">
      <pivotArea type="data" outline="0" fieldPosition="0">
        <references count="2">
          <reference field="4294967294" count="1" selected="0">
            <x v="0"/>
          </reference>
          <reference field="5" count="1" selected="0">
            <x v="0"/>
          </reference>
        </references>
      </pivotArea>
    </chartFormat>
    <chartFormat chart="9" format="1" series="1">
      <pivotArea type="data" outline="0" fieldPosition="0">
        <references count="2">
          <reference field="4294967294" count="1" selected="0">
            <x v="0"/>
          </reference>
          <reference field="5" count="1" selected="0">
            <x v="1"/>
          </reference>
        </references>
      </pivotArea>
    </chartFormat>
    <chartFormat chart="9" format="2" series="1">
      <pivotArea type="data" outline="0" fieldPosition="0">
        <references count="2">
          <reference field="4294967294" count="1" selected="0">
            <x v="0"/>
          </reference>
          <reference field="5" count="1" selected="0">
            <x v="2"/>
          </reference>
        </references>
      </pivotArea>
    </chartFormat>
    <chartFormat chart="17" format="6" series="1">
      <pivotArea type="data" outline="0" fieldPosition="0">
        <references count="2">
          <reference field="4294967294" count="1" selected="0">
            <x v="0"/>
          </reference>
          <reference field="5" count="1" selected="0">
            <x v="0"/>
          </reference>
        </references>
      </pivotArea>
    </chartFormat>
    <chartFormat chart="17" format="7" series="1">
      <pivotArea type="data" outline="0" fieldPosition="0">
        <references count="2">
          <reference field="4294967294" count="1" selected="0">
            <x v="0"/>
          </reference>
          <reference field="5" count="1" selected="0">
            <x v="1"/>
          </reference>
        </references>
      </pivotArea>
    </chartFormat>
    <chartFormat chart="17"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ışVeri_1" connectionId="2" xr16:uid="{2356B36F-4577-CE44-8956-5947666B22BA}" autoFormatId="16" applyNumberFormats="0" applyBorderFormats="0" applyFontFormats="0" applyPatternFormats="0" applyAlignmentFormats="0" applyWidthHeightFormats="0">
  <queryTableRefresh nextId="10">
    <queryTableFields count="9">
      <queryTableField id="1" name="Transaction ID" tableColumnId="1"/>
      <queryTableField id="2" name="Date" tableColumnId="2"/>
      <queryTableField id="3" name="Customer ID" tableColumnId="3"/>
      <queryTableField id="4" name="Gender" tableColumnId="4"/>
      <queryTableField id="5" name="Age" tableColumnId="5"/>
      <queryTableField id="6" name="Product Category" tableColumnId="6"/>
      <queryTableField id="7" name="Quantity" tableColumnId="7"/>
      <queryTableField id="8" name="Price per Unit" tableColumnId="8"/>
      <queryTableField id="9" name="Total Amount"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ışVeri_1" connectionId="3" xr16:uid="{82945BD7-D63B-3E44-A616-009441FF377C}" autoFormatId="16" applyNumberFormats="0" applyBorderFormats="0" applyFontFormats="0" applyPatternFormats="0" applyAlignmentFormats="0" applyWidthHeightFormats="0">
  <queryTableRefresh nextId="12" unboundColumnsRight="2">
    <queryTableFields count="11">
      <queryTableField id="1" name="Transaction ID" tableColumnId="1"/>
      <queryTableField id="2" name="Date" tableColumnId="2"/>
      <queryTableField id="3" name="Customer ID" tableColumnId="3"/>
      <queryTableField id="4" name="Gender" tableColumnId="4"/>
      <queryTableField id="5" name="Age" tableColumnId="5"/>
      <queryTableField id="6" name="Product Category" tableColumnId="6"/>
      <queryTableField id="7" name="Quantity" tableColumnId="7"/>
      <queryTableField id="8" name="Price per Unit" tableColumnId="8"/>
      <queryTableField id="9" name="Total Amount" tableColumnId="9"/>
      <queryTableField id="10" dataBound="0" tableColumnId="10"/>
      <queryTableField id="11"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EADB49B-0BA6-604C-9B42-145A2817488E}" sourceName="Product Category">
  <pivotTables>
    <pivotTable tabId="6" name="PivotTable3"/>
    <pivotTable tabId="6" name="PivotTable1"/>
    <pivotTable tabId="6" name="PivotTable5"/>
    <pivotTable tabId="6" name="PivotTable4"/>
    <pivotTable tabId="6" name="PivotTable7"/>
    <pivotTable tabId="6" name="PivotTable9"/>
  </pivotTables>
  <data>
    <tabular pivotCacheId="69279537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E6FB659B-AFEF-844F-8745-4D8F9B595E92}" sourceName="Age Groups">
  <pivotTables>
    <pivotTable tabId="6" name="PivotTable3"/>
    <pivotTable tabId="6" name="PivotTable1"/>
    <pivotTable tabId="6" name="PivotTable4"/>
    <pivotTable tabId="6" name="PivotTable5"/>
    <pivotTable tabId="6" name="PivotTable7"/>
    <pivotTable tabId="6" name="PivotTable9"/>
  </pivotTables>
  <data>
    <tabular pivotCacheId="692795372">
      <items count="5">
        <i x="4" s="1"/>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A789269-2189-F34B-A8C4-392C16E11637}" sourceName="Gender">
  <pivotTables>
    <pivotTable tabId="6" name="PivotTable7"/>
    <pivotTable tabId="6" name="PivotTable1"/>
    <pivotTable tabId="6" name="PivotTable3"/>
    <pivotTable tabId="6" name="PivotTable4"/>
    <pivotTable tabId="6" name="PivotTable5"/>
    <pivotTable tabId="6" name="PivotTable9"/>
  </pivotTables>
  <data>
    <tabular pivotCacheId="69279537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21854966-E2F9-2843-9EB3-FCFFCFD12C20}" sourceName="Season">
  <pivotTables>
    <pivotTable tabId="6" name="PivotTable1"/>
    <pivotTable tabId="6" name="PivotTable3"/>
    <pivotTable tabId="6" name="PivotTable4"/>
    <pivotTable tabId="6" name="PivotTable5"/>
    <pivotTable tabId="6" name="PivotTable7"/>
    <pivotTable tabId="6" name="PivotTable9"/>
  </pivotTables>
  <data>
    <tabular pivotCacheId="692795372">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0768DCFF-EFBF-6A44-B56A-6F652EC4B54C}" cache="Slicer_Product_Category" caption="Product Category" rowHeight="251883"/>
  <slicer name="Age Groups" xr10:uid="{944BDC93-923E-0946-970F-4E0F2A011D02}" cache="Slicer_Age_Groups" caption="Age Groups" rowHeight="251883"/>
  <slicer name="Gender" xr10:uid="{4B744AFF-5CBF-2445-B97F-BB236A990842}" cache="Slicer_Gender" caption="Gender" rowHeight="251883"/>
  <slicer name="Season" xr10:uid="{AD7763C4-3C40-C644-A5BF-5D4AB8B7AD03}" cache="Slicer_Season" caption="Season"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456D5F11-C9BB-1A49-AEC2-A7936C394326}" cache="Slicer_Product_Category" caption="Product Category" columnCount="3" style="SlicerStyleDark1" rowHeight="2743200"/>
  <slicer name="Age Groups 1" xr10:uid="{C523DA3C-7923-7042-B73D-43A4F6D7C248}" cache="Slicer_Age_Groups" caption="Age Groups" columnCount="5" style="SlicerStyleDark1" rowHeight="2743200"/>
  <slicer name="Gender 3" xr10:uid="{3CBA49BB-9BA4-1141-8610-16AB41F82CB0}" cache="Slicer_Gender" caption="Gender" columnCount="2" style="SlicerStyleDark1" rowHeight="2743200"/>
  <slicer name="Season 1" xr10:uid="{CD9E3A26-2997-E647-9ED3-C0C9C6788FF7}" cache="Slicer_Season" caption="Season" columnCount="4" style="SlicerStyleDark1" rowHeight="2743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D2CF28-BF20-404C-A971-AEBEEC254995}" name="retail_sales_dataset_raw" displayName="retail_sales_dataset_raw" ref="A1:I1001" tableType="queryTable" totalsRowShown="0">
  <autoFilter ref="A1:I1001" xr:uid="{E1D2CF28-BF20-404C-A971-AEBEEC254995}"/>
  <tableColumns count="9">
    <tableColumn id="1" xr3:uid="{4F83CF25-1E82-CF49-98E8-BF0EE11CC322}" uniqueName="1" name="Transaction ID" queryTableFieldId="1"/>
    <tableColumn id="2" xr3:uid="{3735A659-09AE-804C-B03C-09F10B588401}" uniqueName="2" name="Date" queryTableFieldId="2" dataDxfId="20"/>
    <tableColumn id="3" xr3:uid="{9A05D47A-1230-154B-8E89-3C38B1577E3E}" uniqueName="3" name="Customer ID" queryTableFieldId="3" dataDxfId="19"/>
    <tableColumn id="4" xr3:uid="{85F3666C-59B0-004C-B04B-CFDB8248B1A2}" uniqueName="4" name="Gender" queryTableFieldId="4" dataDxfId="18"/>
    <tableColumn id="5" xr3:uid="{3F8367A6-C882-4647-9DD9-C27554B55193}" uniqueName="5" name="Age" queryTableFieldId="5"/>
    <tableColumn id="6" xr3:uid="{9C17979D-12B6-E348-8519-9D58D5EB9DBE}" uniqueName="6" name="Product Category" queryTableFieldId="6" dataDxfId="17"/>
    <tableColumn id="7" xr3:uid="{7CD23474-EA7C-5D48-BB56-7559C8990ABD}" uniqueName="7" name="Quantity" queryTableFieldId="7"/>
    <tableColumn id="8" xr3:uid="{2C37B0A9-7E84-914B-828E-38EA20F79B55}" uniqueName="8" name="Price per Unit" queryTableFieldId="8"/>
    <tableColumn id="9" xr3:uid="{63B330C2-6EC2-614B-B53F-BB863F2DD383}" uniqueName="9" name="Total Amount" queryTableField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09BAAE-7CAA-BC45-BFF4-0B73517454BA}" name="retail_sales_dataset" displayName="retail_sales_dataset" ref="A1:K1001" tableType="queryTable" totalsRowShown="0">
  <autoFilter ref="A1:K1001" xr:uid="{E1D2CF28-BF20-404C-A971-AEBEEC254995}"/>
  <tableColumns count="11">
    <tableColumn id="1" xr3:uid="{69B11B91-9D97-574D-8537-A23D79862269}" uniqueName="1" name="Transaction ID" queryTableFieldId="1"/>
    <tableColumn id="2" xr3:uid="{71757E96-4056-1548-8D15-E3038BC19570}" uniqueName="2" name="Date" queryTableFieldId="2" dataDxfId="16"/>
    <tableColumn id="3" xr3:uid="{F363E336-99A5-A848-9E77-6E1260F2D6C9}" uniqueName="3" name="Customer ID" queryTableFieldId="3" dataDxfId="15"/>
    <tableColumn id="4" xr3:uid="{58597E98-4322-2A4C-A568-3AB2D1766F97}" uniqueName="4" name="Gender" queryTableFieldId="4" dataDxfId="14"/>
    <tableColumn id="5" xr3:uid="{2E5827E1-96A1-DE4A-AD91-8F05CE0E1B91}" uniqueName="5" name="Age" queryTableFieldId="5" dataDxfId="13"/>
    <tableColumn id="6" xr3:uid="{1A1291A8-AFF0-4C44-8BE7-6725C9ED87E0}" uniqueName="6" name="Product Category" queryTableFieldId="6" dataDxfId="12"/>
    <tableColumn id="7" xr3:uid="{AF42E834-96B6-2845-AA40-24859F53BD71}" uniqueName="7" name="Quantity" queryTableFieldId="7" dataDxfId="11"/>
    <tableColumn id="8" xr3:uid="{35996729-C7D5-424C-976C-BCB8ECE93BC6}" uniqueName="8" name="Price per Unit" queryTableFieldId="8" dataDxfId="10"/>
    <tableColumn id="9" xr3:uid="{6BB2462E-32D1-824F-8798-F7E4469BB7AE}" uniqueName="9" name="Total Amount" queryTableFieldId="9" dataDxfId="9"/>
    <tableColumn id="10" xr3:uid="{9BB58FBD-5A0A-4A42-BE19-FEF11D059221}" uniqueName="10" name="Age Groups" queryTableFieldId="10" dataDxfId="8">
      <calculatedColumnFormula>IF(AND(E2&gt;=18, E2&lt;=24), "18–24",
 IF(AND(E2&gt;=25, E2&lt;=34), "25–34",
 IF(AND(E2&gt;=35, E2&lt;=44), "35–44",
 IF(AND(E2&gt;=45, E2&lt;=54), "45–54",
 IF(AND(E2&gt;=55, E2&lt;=64), "55–64", "Other")))))</calculatedColumnFormula>
    </tableColumn>
    <tableColumn id="11" xr3:uid="{9FE8964A-0355-A145-99E0-64F4D6176B86}" uniqueName="11" name="Season" queryTableFieldId="11" dataDxfId="7">
      <calculatedColumnFormula array="1">_xlfn.IFS(
  OR(MONTH(B2)=12, MONTH(B2)=1, MONTH(B2)=2), "Winter",
  OR(MONTH(B2)=3, MONTH(B2)=4, MONTH(B2)=5), "Spring",
  OR(MONTH(B2)=6, MONTH(B2)=7, MONTH(B2)=8), "Summer",
  OR(MONTH(B2)=9, MONTH(B2)=10, MONTH(B2)=11), "Fall"
)</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09AA5-1F98-C849-9131-E017B5D1BE16}">
  <dimension ref="A1:I1001"/>
  <sheetViews>
    <sheetView workbookViewId="0"/>
  </sheetViews>
  <sheetFormatPr defaultColWidth="10.6640625" defaultRowHeight="16"/>
  <cols>
    <col min="1" max="1" width="15.5" bestFit="1" customWidth="1"/>
    <col min="2" max="2" width="10.1640625" bestFit="1" customWidth="1"/>
    <col min="3" max="3" width="14.1640625" bestFit="1" customWidth="1"/>
    <col min="4" max="4" width="9.6640625" bestFit="1" customWidth="1"/>
    <col min="5" max="5" width="6.83203125" bestFit="1" customWidth="1"/>
    <col min="6" max="6" width="18" bestFit="1" customWidth="1"/>
    <col min="7" max="7" width="10.6640625" bestFit="1" customWidth="1"/>
    <col min="8" max="8" width="14.6640625" bestFit="1" customWidth="1"/>
    <col min="9" max="9" width="14.5" bestFit="1" customWidth="1"/>
  </cols>
  <sheetData>
    <row r="1" spans="1:9">
      <c r="A1" t="s">
        <v>0</v>
      </c>
      <c r="B1" t="s">
        <v>1</v>
      </c>
      <c r="C1" t="s">
        <v>2</v>
      </c>
      <c r="D1" t="s">
        <v>3</v>
      </c>
      <c r="E1" t="s">
        <v>4</v>
      </c>
      <c r="F1" t="s">
        <v>5</v>
      </c>
      <c r="G1" t="s">
        <v>6</v>
      </c>
      <c r="H1" t="s">
        <v>7</v>
      </c>
      <c r="I1" t="s">
        <v>8</v>
      </c>
    </row>
    <row r="2" spans="1:9">
      <c r="A2">
        <v>1</v>
      </c>
      <c r="B2" s="1">
        <v>45254</v>
      </c>
      <c r="C2" t="s">
        <v>9</v>
      </c>
      <c r="D2" t="s">
        <v>10</v>
      </c>
      <c r="E2">
        <v>34</v>
      </c>
      <c r="F2" t="s">
        <v>11</v>
      </c>
      <c r="G2">
        <v>3</v>
      </c>
      <c r="H2">
        <v>50</v>
      </c>
      <c r="I2">
        <v>150</v>
      </c>
    </row>
    <row r="3" spans="1:9">
      <c r="A3">
        <v>2</v>
      </c>
      <c r="B3" s="1">
        <v>44984</v>
      </c>
      <c r="C3" t="s">
        <v>12</v>
      </c>
      <c r="D3" t="s">
        <v>13</v>
      </c>
      <c r="E3">
        <v>26</v>
      </c>
      <c r="F3" t="s">
        <v>14</v>
      </c>
      <c r="G3">
        <v>2</v>
      </c>
      <c r="H3">
        <v>500</v>
      </c>
      <c r="I3">
        <v>1000</v>
      </c>
    </row>
    <row r="4" spans="1:9">
      <c r="A4">
        <v>3</v>
      </c>
      <c r="B4" s="1">
        <v>44939</v>
      </c>
      <c r="C4" t="s">
        <v>15</v>
      </c>
      <c r="D4" t="s">
        <v>10</v>
      </c>
      <c r="E4">
        <v>50</v>
      </c>
      <c r="F4" t="s">
        <v>16</v>
      </c>
      <c r="G4">
        <v>1</v>
      </c>
      <c r="H4">
        <v>30</v>
      </c>
      <c r="I4">
        <v>30</v>
      </c>
    </row>
    <row r="5" spans="1:9">
      <c r="A5">
        <v>4</v>
      </c>
      <c r="B5" s="1">
        <v>45067</v>
      </c>
      <c r="C5" t="s">
        <v>17</v>
      </c>
      <c r="D5" t="s">
        <v>10</v>
      </c>
      <c r="E5">
        <v>37</v>
      </c>
      <c r="F5" t="s">
        <v>14</v>
      </c>
      <c r="G5">
        <v>1</v>
      </c>
      <c r="H5">
        <v>500</v>
      </c>
      <c r="I5">
        <v>500</v>
      </c>
    </row>
    <row r="6" spans="1:9">
      <c r="A6">
        <v>5</v>
      </c>
      <c r="B6" s="1">
        <v>45052</v>
      </c>
      <c r="C6" t="s">
        <v>18</v>
      </c>
      <c r="D6" t="s">
        <v>10</v>
      </c>
      <c r="E6">
        <v>30</v>
      </c>
      <c r="F6" t="s">
        <v>11</v>
      </c>
      <c r="G6">
        <v>2</v>
      </c>
      <c r="H6">
        <v>50</v>
      </c>
      <c r="I6">
        <v>100</v>
      </c>
    </row>
    <row r="7" spans="1:9">
      <c r="A7">
        <v>6</v>
      </c>
      <c r="B7" s="1">
        <v>45041</v>
      </c>
      <c r="C7" t="s">
        <v>19</v>
      </c>
      <c r="D7" t="s">
        <v>13</v>
      </c>
      <c r="E7">
        <v>45</v>
      </c>
      <c r="F7" t="s">
        <v>11</v>
      </c>
      <c r="G7">
        <v>1</v>
      </c>
      <c r="H7">
        <v>30</v>
      </c>
      <c r="I7">
        <v>30</v>
      </c>
    </row>
    <row r="8" spans="1:9">
      <c r="A8">
        <v>7</v>
      </c>
      <c r="B8" s="1">
        <v>44998</v>
      </c>
      <c r="C8" t="s">
        <v>20</v>
      </c>
      <c r="D8" t="s">
        <v>10</v>
      </c>
      <c r="E8">
        <v>46</v>
      </c>
      <c r="F8" t="s">
        <v>14</v>
      </c>
      <c r="G8">
        <v>2</v>
      </c>
      <c r="H8">
        <v>25</v>
      </c>
      <c r="I8">
        <v>50</v>
      </c>
    </row>
    <row r="9" spans="1:9">
      <c r="A9">
        <v>8</v>
      </c>
      <c r="B9" s="1">
        <v>44979</v>
      </c>
      <c r="C9" t="s">
        <v>21</v>
      </c>
      <c r="D9" t="s">
        <v>10</v>
      </c>
      <c r="E9">
        <v>30</v>
      </c>
      <c r="F9" t="s">
        <v>16</v>
      </c>
      <c r="G9">
        <v>4</v>
      </c>
      <c r="H9">
        <v>25</v>
      </c>
      <c r="I9">
        <v>100</v>
      </c>
    </row>
    <row r="10" spans="1:9">
      <c r="A10">
        <v>9</v>
      </c>
      <c r="B10" s="1">
        <v>45273</v>
      </c>
      <c r="C10" t="s">
        <v>22</v>
      </c>
      <c r="D10" t="s">
        <v>10</v>
      </c>
      <c r="E10">
        <v>63</v>
      </c>
      <c r="F10" t="s">
        <v>16</v>
      </c>
      <c r="G10">
        <v>2</v>
      </c>
      <c r="H10">
        <v>300</v>
      </c>
      <c r="I10">
        <v>600</v>
      </c>
    </row>
    <row r="11" spans="1:9">
      <c r="A11">
        <v>10</v>
      </c>
      <c r="B11" s="1">
        <v>45206</v>
      </c>
      <c r="C11" t="s">
        <v>23</v>
      </c>
      <c r="D11" t="s">
        <v>13</v>
      </c>
      <c r="E11">
        <v>52</v>
      </c>
      <c r="F11" t="s">
        <v>14</v>
      </c>
      <c r="G11">
        <v>4</v>
      </c>
      <c r="H11">
        <v>50</v>
      </c>
      <c r="I11">
        <v>200</v>
      </c>
    </row>
    <row r="12" spans="1:9">
      <c r="A12">
        <v>11</v>
      </c>
      <c r="B12" s="1">
        <v>44971</v>
      </c>
      <c r="C12" t="s">
        <v>24</v>
      </c>
      <c r="D12" t="s">
        <v>10</v>
      </c>
      <c r="E12">
        <v>23</v>
      </c>
      <c r="F12" t="s">
        <v>14</v>
      </c>
      <c r="G12">
        <v>2</v>
      </c>
      <c r="H12">
        <v>50</v>
      </c>
      <c r="I12">
        <v>100</v>
      </c>
    </row>
    <row r="13" spans="1:9">
      <c r="A13">
        <v>12</v>
      </c>
      <c r="B13" s="1">
        <v>45229</v>
      </c>
      <c r="C13" t="s">
        <v>25</v>
      </c>
      <c r="D13" t="s">
        <v>10</v>
      </c>
      <c r="E13">
        <v>35</v>
      </c>
      <c r="F13" t="s">
        <v>11</v>
      </c>
      <c r="G13">
        <v>3</v>
      </c>
      <c r="H13">
        <v>25</v>
      </c>
      <c r="I13">
        <v>75</v>
      </c>
    </row>
    <row r="14" spans="1:9">
      <c r="A14">
        <v>13</v>
      </c>
      <c r="B14" s="1">
        <v>45143</v>
      </c>
      <c r="C14" t="s">
        <v>26</v>
      </c>
      <c r="D14" t="s">
        <v>10</v>
      </c>
      <c r="E14">
        <v>22</v>
      </c>
      <c r="F14" t="s">
        <v>16</v>
      </c>
      <c r="G14">
        <v>3</v>
      </c>
      <c r="H14">
        <v>500</v>
      </c>
      <c r="I14">
        <v>1500</v>
      </c>
    </row>
    <row r="15" spans="1:9">
      <c r="A15">
        <v>14</v>
      </c>
      <c r="B15" s="1">
        <v>44943</v>
      </c>
      <c r="C15" t="s">
        <v>27</v>
      </c>
      <c r="D15" t="s">
        <v>10</v>
      </c>
      <c r="E15">
        <v>64</v>
      </c>
      <c r="F15" t="s">
        <v>14</v>
      </c>
      <c r="G15">
        <v>4</v>
      </c>
      <c r="H15">
        <v>30</v>
      </c>
      <c r="I15">
        <v>120</v>
      </c>
    </row>
    <row r="16" spans="1:9">
      <c r="A16">
        <v>15</v>
      </c>
      <c r="B16" s="1">
        <v>44942</v>
      </c>
      <c r="C16" t="s">
        <v>28</v>
      </c>
      <c r="D16" t="s">
        <v>13</v>
      </c>
      <c r="E16">
        <v>42</v>
      </c>
      <c r="F16" t="s">
        <v>16</v>
      </c>
      <c r="G16">
        <v>4</v>
      </c>
      <c r="H16">
        <v>500</v>
      </c>
      <c r="I16">
        <v>2000</v>
      </c>
    </row>
    <row r="17" spans="1:9">
      <c r="A17">
        <v>16</v>
      </c>
      <c r="B17" s="1">
        <v>44974</v>
      </c>
      <c r="C17" t="s">
        <v>29</v>
      </c>
      <c r="D17" t="s">
        <v>10</v>
      </c>
      <c r="E17">
        <v>19</v>
      </c>
      <c r="F17" t="s">
        <v>14</v>
      </c>
      <c r="G17">
        <v>3</v>
      </c>
      <c r="H17">
        <v>500</v>
      </c>
      <c r="I17">
        <v>1500</v>
      </c>
    </row>
    <row r="18" spans="1:9">
      <c r="A18">
        <v>17</v>
      </c>
      <c r="B18" s="1">
        <v>45038</v>
      </c>
      <c r="C18" t="s">
        <v>30</v>
      </c>
      <c r="D18" t="s">
        <v>13</v>
      </c>
      <c r="E18">
        <v>27</v>
      </c>
      <c r="F18" t="s">
        <v>14</v>
      </c>
      <c r="G18">
        <v>4</v>
      </c>
      <c r="H18">
        <v>25</v>
      </c>
      <c r="I18">
        <v>100</v>
      </c>
    </row>
    <row r="19" spans="1:9">
      <c r="A19">
        <v>18</v>
      </c>
      <c r="B19" s="1">
        <v>45046</v>
      </c>
      <c r="C19" t="s">
        <v>31</v>
      </c>
      <c r="D19" t="s">
        <v>13</v>
      </c>
      <c r="E19">
        <v>47</v>
      </c>
      <c r="F19" t="s">
        <v>16</v>
      </c>
      <c r="G19">
        <v>2</v>
      </c>
      <c r="H19">
        <v>25</v>
      </c>
      <c r="I19">
        <v>50</v>
      </c>
    </row>
    <row r="20" spans="1:9">
      <c r="A20">
        <v>19</v>
      </c>
      <c r="B20" s="1">
        <v>45185</v>
      </c>
      <c r="C20" t="s">
        <v>32</v>
      </c>
      <c r="D20" t="s">
        <v>13</v>
      </c>
      <c r="E20">
        <v>62</v>
      </c>
      <c r="F20" t="s">
        <v>14</v>
      </c>
      <c r="G20">
        <v>2</v>
      </c>
      <c r="H20">
        <v>25</v>
      </c>
      <c r="I20">
        <v>50</v>
      </c>
    </row>
    <row r="21" spans="1:9">
      <c r="A21">
        <v>20</v>
      </c>
      <c r="B21" s="1">
        <v>45235</v>
      </c>
      <c r="C21" t="s">
        <v>33</v>
      </c>
      <c r="D21" t="s">
        <v>10</v>
      </c>
      <c r="E21">
        <v>22</v>
      </c>
      <c r="F21" t="s">
        <v>14</v>
      </c>
      <c r="G21">
        <v>3</v>
      </c>
      <c r="H21">
        <v>300</v>
      </c>
      <c r="I21">
        <v>900</v>
      </c>
    </row>
    <row r="22" spans="1:9">
      <c r="A22">
        <v>21</v>
      </c>
      <c r="B22" s="1">
        <v>44940</v>
      </c>
      <c r="C22" t="s">
        <v>34</v>
      </c>
      <c r="D22" t="s">
        <v>13</v>
      </c>
      <c r="E22">
        <v>50</v>
      </c>
      <c r="F22" t="s">
        <v>11</v>
      </c>
      <c r="G22">
        <v>1</v>
      </c>
      <c r="H22">
        <v>500</v>
      </c>
      <c r="I22">
        <v>500</v>
      </c>
    </row>
    <row r="23" spans="1:9">
      <c r="A23">
        <v>22</v>
      </c>
      <c r="B23" s="1">
        <v>45214</v>
      </c>
      <c r="C23" t="s">
        <v>35</v>
      </c>
      <c r="D23" t="s">
        <v>10</v>
      </c>
      <c r="E23">
        <v>18</v>
      </c>
      <c r="F23" t="s">
        <v>14</v>
      </c>
      <c r="G23">
        <v>2</v>
      </c>
      <c r="H23">
        <v>50</v>
      </c>
      <c r="I23">
        <v>100</v>
      </c>
    </row>
    <row r="24" spans="1:9">
      <c r="A24">
        <v>23</v>
      </c>
      <c r="B24" s="1">
        <v>45028</v>
      </c>
      <c r="C24" t="s">
        <v>36</v>
      </c>
      <c r="D24" t="s">
        <v>13</v>
      </c>
      <c r="E24">
        <v>35</v>
      </c>
      <c r="F24" t="s">
        <v>14</v>
      </c>
      <c r="G24">
        <v>4</v>
      </c>
      <c r="H24">
        <v>30</v>
      </c>
      <c r="I24">
        <v>120</v>
      </c>
    </row>
    <row r="25" spans="1:9">
      <c r="A25">
        <v>24</v>
      </c>
      <c r="B25" s="1">
        <v>45259</v>
      </c>
      <c r="C25" t="s">
        <v>37</v>
      </c>
      <c r="D25" t="s">
        <v>13</v>
      </c>
      <c r="E25">
        <v>49</v>
      </c>
      <c r="F25" t="s">
        <v>14</v>
      </c>
      <c r="G25">
        <v>1</v>
      </c>
      <c r="H25">
        <v>300</v>
      </c>
      <c r="I25">
        <v>300</v>
      </c>
    </row>
    <row r="26" spans="1:9">
      <c r="A26">
        <v>25</v>
      </c>
      <c r="B26" s="1">
        <v>45286</v>
      </c>
      <c r="C26" t="s">
        <v>38</v>
      </c>
      <c r="D26" t="s">
        <v>13</v>
      </c>
      <c r="E26">
        <v>64</v>
      </c>
      <c r="F26" t="s">
        <v>11</v>
      </c>
      <c r="G26">
        <v>1</v>
      </c>
      <c r="H26">
        <v>50</v>
      </c>
      <c r="I26">
        <v>50</v>
      </c>
    </row>
    <row r="27" spans="1:9">
      <c r="A27">
        <v>26</v>
      </c>
      <c r="B27" s="1">
        <v>45206</v>
      </c>
      <c r="C27" t="s">
        <v>39</v>
      </c>
      <c r="D27" t="s">
        <v>13</v>
      </c>
      <c r="E27">
        <v>28</v>
      </c>
      <c r="F27" t="s">
        <v>16</v>
      </c>
      <c r="G27">
        <v>2</v>
      </c>
      <c r="H27">
        <v>500</v>
      </c>
      <c r="I27">
        <v>1000</v>
      </c>
    </row>
    <row r="28" spans="1:9">
      <c r="A28">
        <v>27</v>
      </c>
      <c r="B28" s="1">
        <v>45141</v>
      </c>
      <c r="C28" t="s">
        <v>40</v>
      </c>
      <c r="D28" t="s">
        <v>13</v>
      </c>
      <c r="E28">
        <v>38</v>
      </c>
      <c r="F28" t="s">
        <v>11</v>
      </c>
      <c r="G28">
        <v>2</v>
      </c>
      <c r="H28">
        <v>25</v>
      </c>
      <c r="I28">
        <v>50</v>
      </c>
    </row>
    <row r="29" spans="1:9">
      <c r="A29">
        <v>28</v>
      </c>
      <c r="B29" s="1">
        <v>45039</v>
      </c>
      <c r="C29" t="s">
        <v>41</v>
      </c>
      <c r="D29" t="s">
        <v>13</v>
      </c>
      <c r="E29">
        <v>43</v>
      </c>
      <c r="F29" t="s">
        <v>11</v>
      </c>
      <c r="G29">
        <v>1</v>
      </c>
      <c r="H29">
        <v>500</v>
      </c>
      <c r="I29">
        <v>500</v>
      </c>
    </row>
    <row r="30" spans="1:9">
      <c r="A30">
        <v>29</v>
      </c>
      <c r="B30" s="1">
        <v>45156</v>
      </c>
      <c r="C30" t="s">
        <v>42</v>
      </c>
      <c r="D30" t="s">
        <v>13</v>
      </c>
      <c r="E30">
        <v>42</v>
      </c>
      <c r="F30" t="s">
        <v>16</v>
      </c>
      <c r="G30">
        <v>1</v>
      </c>
      <c r="H30">
        <v>30</v>
      </c>
      <c r="I30">
        <v>30</v>
      </c>
    </row>
    <row r="31" spans="1:9">
      <c r="A31">
        <v>30</v>
      </c>
      <c r="B31" s="1">
        <v>45228</v>
      </c>
      <c r="C31" t="s">
        <v>43</v>
      </c>
      <c r="D31" t="s">
        <v>13</v>
      </c>
      <c r="E31">
        <v>39</v>
      </c>
      <c r="F31" t="s">
        <v>11</v>
      </c>
      <c r="G31">
        <v>3</v>
      </c>
      <c r="H31">
        <v>300</v>
      </c>
      <c r="I31">
        <v>900</v>
      </c>
    </row>
    <row r="32" spans="1:9">
      <c r="A32">
        <v>31</v>
      </c>
      <c r="B32" s="1">
        <v>45069</v>
      </c>
      <c r="C32" t="s">
        <v>44</v>
      </c>
      <c r="D32" t="s">
        <v>10</v>
      </c>
      <c r="E32">
        <v>44</v>
      </c>
      <c r="F32" t="s">
        <v>16</v>
      </c>
      <c r="G32">
        <v>4</v>
      </c>
      <c r="H32">
        <v>300</v>
      </c>
      <c r="I32">
        <v>1200</v>
      </c>
    </row>
    <row r="33" spans="1:9">
      <c r="A33">
        <v>32</v>
      </c>
      <c r="B33" s="1">
        <v>44930</v>
      </c>
      <c r="C33" t="s">
        <v>45</v>
      </c>
      <c r="D33" t="s">
        <v>10</v>
      </c>
      <c r="E33">
        <v>30</v>
      </c>
      <c r="F33" t="s">
        <v>11</v>
      </c>
      <c r="G33">
        <v>3</v>
      </c>
      <c r="H33">
        <v>30</v>
      </c>
      <c r="I33">
        <v>90</v>
      </c>
    </row>
    <row r="34" spans="1:9">
      <c r="A34">
        <v>33</v>
      </c>
      <c r="B34" s="1">
        <v>45008</v>
      </c>
      <c r="C34" t="s">
        <v>46</v>
      </c>
      <c r="D34" t="s">
        <v>13</v>
      </c>
      <c r="E34">
        <v>50</v>
      </c>
      <c r="F34" t="s">
        <v>16</v>
      </c>
      <c r="G34">
        <v>2</v>
      </c>
      <c r="H34">
        <v>50</v>
      </c>
      <c r="I34">
        <v>100</v>
      </c>
    </row>
    <row r="35" spans="1:9">
      <c r="A35">
        <v>34</v>
      </c>
      <c r="B35" s="1">
        <v>45284</v>
      </c>
      <c r="C35" t="s">
        <v>47</v>
      </c>
      <c r="D35" t="s">
        <v>13</v>
      </c>
      <c r="E35">
        <v>51</v>
      </c>
      <c r="F35" t="s">
        <v>14</v>
      </c>
      <c r="G35">
        <v>3</v>
      </c>
      <c r="H35">
        <v>50</v>
      </c>
      <c r="I35">
        <v>150</v>
      </c>
    </row>
    <row r="36" spans="1:9">
      <c r="A36">
        <v>35</v>
      </c>
      <c r="B36" s="1">
        <v>45143</v>
      </c>
      <c r="C36" t="s">
        <v>48</v>
      </c>
      <c r="D36" t="s">
        <v>13</v>
      </c>
      <c r="E36">
        <v>58</v>
      </c>
      <c r="F36" t="s">
        <v>11</v>
      </c>
      <c r="G36">
        <v>3</v>
      </c>
      <c r="H36">
        <v>300</v>
      </c>
      <c r="I36">
        <v>900</v>
      </c>
    </row>
    <row r="37" spans="1:9">
      <c r="A37">
        <v>36</v>
      </c>
      <c r="B37" s="1">
        <v>45101</v>
      </c>
      <c r="C37" t="s">
        <v>49</v>
      </c>
      <c r="D37" t="s">
        <v>10</v>
      </c>
      <c r="E37">
        <v>52</v>
      </c>
      <c r="F37" t="s">
        <v>11</v>
      </c>
      <c r="G37">
        <v>3</v>
      </c>
      <c r="H37">
        <v>300</v>
      </c>
      <c r="I37">
        <v>900</v>
      </c>
    </row>
    <row r="38" spans="1:9">
      <c r="A38">
        <v>37</v>
      </c>
      <c r="B38" s="1">
        <v>45069</v>
      </c>
      <c r="C38" t="s">
        <v>50</v>
      </c>
      <c r="D38" t="s">
        <v>13</v>
      </c>
      <c r="E38">
        <v>18</v>
      </c>
      <c r="F38" t="s">
        <v>11</v>
      </c>
      <c r="G38">
        <v>3</v>
      </c>
      <c r="H38">
        <v>25</v>
      </c>
      <c r="I38">
        <v>75</v>
      </c>
    </row>
    <row r="39" spans="1:9">
      <c r="A39">
        <v>38</v>
      </c>
      <c r="B39" s="1">
        <v>45006</v>
      </c>
      <c r="C39" t="s">
        <v>51</v>
      </c>
      <c r="D39" t="s">
        <v>10</v>
      </c>
      <c r="E39">
        <v>38</v>
      </c>
      <c r="F39" t="s">
        <v>11</v>
      </c>
      <c r="G39">
        <v>4</v>
      </c>
      <c r="H39">
        <v>50</v>
      </c>
      <c r="I39">
        <v>200</v>
      </c>
    </row>
    <row r="40" spans="1:9">
      <c r="A40">
        <v>39</v>
      </c>
      <c r="B40" s="1">
        <v>45037</v>
      </c>
      <c r="C40" t="s">
        <v>52</v>
      </c>
      <c r="D40" t="s">
        <v>10</v>
      </c>
      <c r="E40">
        <v>23</v>
      </c>
      <c r="F40" t="s">
        <v>14</v>
      </c>
      <c r="G40">
        <v>4</v>
      </c>
      <c r="H40">
        <v>30</v>
      </c>
      <c r="I40">
        <v>120</v>
      </c>
    </row>
    <row r="41" spans="1:9">
      <c r="A41">
        <v>40</v>
      </c>
      <c r="B41" s="1">
        <v>45099</v>
      </c>
      <c r="C41" t="s">
        <v>53</v>
      </c>
      <c r="D41" t="s">
        <v>10</v>
      </c>
      <c r="E41">
        <v>45</v>
      </c>
      <c r="F41" t="s">
        <v>11</v>
      </c>
      <c r="G41">
        <v>1</v>
      </c>
      <c r="H41">
        <v>50</v>
      </c>
      <c r="I41">
        <v>50</v>
      </c>
    </row>
    <row r="42" spans="1:9">
      <c r="A42">
        <v>41</v>
      </c>
      <c r="B42" s="1">
        <v>44979</v>
      </c>
      <c r="C42" t="s">
        <v>54</v>
      </c>
      <c r="D42" t="s">
        <v>10</v>
      </c>
      <c r="E42">
        <v>34</v>
      </c>
      <c r="F42" t="s">
        <v>14</v>
      </c>
      <c r="G42">
        <v>2</v>
      </c>
      <c r="H42">
        <v>25</v>
      </c>
      <c r="I42">
        <v>50</v>
      </c>
    </row>
    <row r="43" spans="1:9">
      <c r="A43">
        <v>42</v>
      </c>
      <c r="B43" s="1">
        <v>44974</v>
      </c>
      <c r="C43" t="s">
        <v>55</v>
      </c>
      <c r="D43" t="s">
        <v>10</v>
      </c>
      <c r="E43">
        <v>22</v>
      </c>
      <c r="F43" t="s">
        <v>14</v>
      </c>
      <c r="G43">
        <v>3</v>
      </c>
      <c r="H43">
        <v>300</v>
      </c>
      <c r="I43">
        <v>900</v>
      </c>
    </row>
    <row r="44" spans="1:9">
      <c r="A44">
        <v>43</v>
      </c>
      <c r="B44" s="1">
        <v>45121</v>
      </c>
      <c r="C44" t="s">
        <v>56</v>
      </c>
      <c r="D44" t="s">
        <v>13</v>
      </c>
      <c r="E44">
        <v>48</v>
      </c>
      <c r="F44" t="s">
        <v>14</v>
      </c>
      <c r="G44">
        <v>1</v>
      </c>
      <c r="H44">
        <v>300</v>
      </c>
      <c r="I44">
        <v>300</v>
      </c>
    </row>
    <row r="45" spans="1:9">
      <c r="A45">
        <v>44</v>
      </c>
      <c r="B45" s="1">
        <v>44976</v>
      </c>
      <c r="C45" t="s">
        <v>57</v>
      </c>
      <c r="D45" t="s">
        <v>13</v>
      </c>
      <c r="E45">
        <v>22</v>
      </c>
      <c r="F45" t="s">
        <v>14</v>
      </c>
      <c r="G45">
        <v>1</v>
      </c>
      <c r="H45">
        <v>25</v>
      </c>
      <c r="I45">
        <v>25</v>
      </c>
    </row>
    <row r="46" spans="1:9">
      <c r="A46">
        <v>45</v>
      </c>
      <c r="B46" s="1">
        <v>45110</v>
      </c>
      <c r="C46" t="s">
        <v>58</v>
      </c>
      <c r="D46" t="s">
        <v>13</v>
      </c>
      <c r="E46">
        <v>55</v>
      </c>
      <c r="F46" t="s">
        <v>16</v>
      </c>
      <c r="G46">
        <v>1</v>
      </c>
      <c r="H46">
        <v>30</v>
      </c>
      <c r="I46">
        <v>30</v>
      </c>
    </row>
    <row r="47" spans="1:9">
      <c r="A47">
        <v>46</v>
      </c>
      <c r="B47" s="1">
        <v>45103</v>
      </c>
      <c r="C47" t="s">
        <v>59</v>
      </c>
      <c r="D47" t="s">
        <v>13</v>
      </c>
      <c r="E47">
        <v>20</v>
      </c>
      <c r="F47" t="s">
        <v>16</v>
      </c>
      <c r="G47">
        <v>4</v>
      </c>
      <c r="H47">
        <v>300</v>
      </c>
      <c r="I47">
        <v>1200</v>
      </c>
    </row>
    <row r="48" spans="1:9">
      <c r="A48">
        <v>47</v>
      </c>
      <c r="B48" s="1">
        <v>45236</v>
      </c>
      <c r="C48" t="s">
        <v>60</v>
      </c>
      <c r="D48" t="s">
        <v>13</v>
      </c>
      <c r="E48">
        <v>40</v>
      </c>
      <c r="F48" t="s">
        <v>11</v>
      </c>
      <c r="G48">
        <v>3</v>
      </c>
      <c r="H48">
        <v>500</v>
      </c>
      <c r="I48">
        <v>1500</v>
      </c>
    </row>
    <row r="49" spans="1:9">
      <c r="A49">
        <v>48</v>
      </c>
      <c r="B49" s="1">
        <v>45062</v>
      </c>
      <c r="C49" t="s">
        <v>61</v>
      </c>
      <c r="D49" t="s">
        <v>10</v>
      </c>
      <c r="E49">
        <v>54</v>
      </c>
      <c r="F49" t="s">
        <v>16</v>
      </c>
      <c r="G49">
        <v>3</v>
      </c>
      <c r="H49">
        <v>300</v>
      </c>
      <c r="I49">
        <v>900</v>
      </c>
    </row>
    <row r="50" spans="1:9">
      <c r="A50">
        <v>49</v>
      </c>
      <c r="B50" s="1">
        <v>44949</v>
      </c>
      <c r="C50" t="s">
        <v>62</v>
      </c>
      <c r="D50" t="s">
        <v>13</v>
      </c>
      <c r="E50">
        <v>54</v>
      </c>
      <c r="F50" t="s">
        <v>16</v>
      </c>
      <c r="G50">
        <v>2</v>
      </c>
      <c r="H50">
        <v>500</v>
      </c>
      <c r="I50">
        <v>1000</v>
      </c>
    </row>
    <row r="51" spans="1:9">
      <c r="A51">
        <v>50</v>
      </c>
      <c r="B51" s="1">
        <v>45162</v>
      </c>
      <c r="C51" t="s">
        <v>63</v>
      </c>
      <c r="D51" t="s">
        <v>13</v>
      </c>
      <c r="E51">
        <v>27</v>
      </c>
      <c r="F51" t="s">
        <v>11</v>
      </c>
      <c r="G51">
        <v>3</v>
      </c>
      <c r="H51">
        <v>25</v>
      </c>
      <c r="I51">
        <v>75</v>
      </c>
    </row>
    <row r="52" spans="1:9">
      <c r="A52">
        <v>51</v>
      </c>
      <c r="B52" s="1">
        <v>45201</v>
      </c>
      <c r="C52" t="s">
        <v>64</v>
      </c>
      <c r="D52" t="s">
        <v>10</v>
      </c>
      <c r="E52">
        <v>27</v>
      </c>
      <c r="F52" t="s">
        <v>11</v>
      </c>
      <c r="G52">
        <v>3</v>
      </c>
      <c r="H52">
        <v>25</v>
      </c>
      <c r="I52">
        <v>75</v>
      </c>
    </row>
    <row r="53" spans="1:9">
      <c r="A53">
        <v>52</v>
      </c>
      <c r="B53" s="1">
        <v>44990</v>
      </c>
      <c r="C53" t="s">
        <v>65</v>
      </c>
      <c r="D53" t="s">
        <v>13</v>
      </c>
      <c r="E53">
        <v>36</v>
      </c>
      <c r="F53" t="s">
        <v>11</v>
      </c>
      <c r="G53">
        <v>1</v>
      </c>
      <c r="H53">
        <v>300</v>
      </c>
      <c r="I53">
        <v>300</v>
      </c>
    </row>
    <row r="54" spans="1:9">
      <c r="A54">
        <v>53</v>
      </c>
      <c r="B54" s="1">
        <v>45120</v>
      </c>
      <c r="C54" t="s">
        <v>66</v>
      </c>
      <c r="D54" t="s">
        <v>10</v>
      </c>
      <c r="E54">
        <v>34</v>
      </c>
      <c r="F54" t="s">
        <v>16</v>
      </c>
      <c r="G54">
        <v>2</v>
      </c>
      <c r="H54">
        <v>50</v>
      </c>
      <c r="I54">
        <v>100</v>
      </c>
    </row>
    <row r="55" spans="1:9">
      <c r="A55">
        <v>54</v>
      </c>
      <c r="B55" s="1">
        <v>44967</v>
      </c>
      <c r="C55" t="s">
        <v>67</v>
      </c>
      <c r="D55" t="s">
        <v>13</v>
      </c>
      <c r="E55">
        <v>38</v>
      </c>
      <c r="F55" t="s">
        <v>16</v>
      </c>
      <c r="G55">
        <v>3</v>
      </c>
      <c r="H55">
        <v>500</v>
      </c>
      <c r="I55">
        <v>1500</v>
      </c>
    </row>
    <row r="56" spans="1:9">
      <c r="A56">
        <v>55</v>
      </c>
      <c r="B56" s="1">
        <v>45209</v>
      </c>
      <c r="C56" t="s">
        <v>68</v>
      </c>
      <c r="D56" t="s">
        <v>10</v>
      </c>
      <c r="E56">
        <v>31</v>
      </c>
      <c r="F56" t="s">
        <v>11</v>
      </c>
      <c r="G56">
        <v>4</v>
      </c>
      <c r="H56">
        <v>30</v>
      </c>
      <c r="I56">
        <v>120</v>
      </c>
    </row>
    <row r="57" spans="1:9">
      <c r="A57">
        <v>56</v>
      </c>
      <c r="B57" s="1">
        <v>45077</v>
      </c>
      <c r="C57" t="s">
        <v>69</v>
      </c>
      <c r="D57" t="s">
        <v>13</v>
      </c>
      <c r="E57">
        <v>26</v>
      </c>
      <c r="F57" t="s">
        <v>14</v>
      </c>
      <c r="G57">
        <v>3</v>
      </c>
      <c r="H57">
        <v>300</v>
      </c>
      <c r="I57">
        <v>900</v>
      </c>
    </row>
    <row r="58" spans="1:9">
      <c r="A58">
        <v>57</v>
      </c>
      <c r="B58" s="1">
        <v>45248</v>
      </c>
      <c r="C58" t="s">
        <v>70</v>
      </c>
      <c r="D58" t="s">
        <v>13</v>
      </c>
      <c r="E58">
        <v>63</v>
      </c>
      <c r="F58" t="s">
        <v>11</v>
      </c>
      <c r="G58">
        <v>1</v>
      </c>
      <c r="H58">
        <v>30</v>
      </c>
      <c r="I58">
        <v>30</v>
      </c>
    </row>
    <row r="59" spans="1:9">
      <c r="A59">
        <v>58</v>
      </c>
      <c r="B59" s="1">
        <v>45243</v>
      </c>
      <c r="C59" t="s">
        <v>71</v>
      </c>
      <c r="D59" t="s">
        <v>10</v>
      </c>
      <c r="E59">
        <v>18</v>
      </c>
      <c r="F59" t="s">
        <v>14</v>
      </c>
      <c r="G59">
        <v>4</v>
      </c>
      <c r="H59">
        <v>300</v>
      </c>
      <c r="I59">
        <v>1200</v>
      </c>
    </row>
    <row r="60" spans="1:9">
      <c r="A60">
        <v>59</v>
      </c>
      <c r="B60" s="1">
        <v>45112</v>
      </c>
      <c r="C60" t="s">
        <v>72</v>
      </c>
      <c r="D60" t="s">
        <v>10</v>
      </c>
      <c r="E60">
        <v>62</v>
      </c>
      <c r="F60" t="s">
        <v>14</v>
      </c>
      <c r="G60">
        <v>1</v>
      </c>
      <c r="H60">
        <v>50</v>
      </c>
      <c r="I60">
        <v>50</v>
      </c>
    </row>
    <row r="61" spans="1:9">
      <c r="A61">
        <v>60</v>
      </c>
      <c r="B61" s="1">
        <v>45222</v>
      </c>
      <c r="C61" t="s">
        <v>73</v>
      </c>
      <c r="D61" t="s">
        <v>10</v>
      </c>
      <c r="E61">
        <v>30</v>
      </c>
      <c r="F61" t="s">
        <v>11</v>
      </c>
      <c r="G61">
        <v>3</v>
      </c>
      <c r="H61">
        <v>50</v>
      </c>
      <c r="I61">
        <v>150</v>
      </c>
    </row>
    <row r="62" spans="1:9">
      <c r="A62">
        <v>61</v>
      </c>
      <c r="B62" s="1">
        <v>45025</v>
      </c>
      <c r="C62" t="s">
        <v>74</v>
      </c>
      <c r="D62" t="s">
        <v>10</v>
      </c>
      <c r="E62">
        <v>21</v>
      </c>
      <c r="F62" t="s">
        <v>11</v>
      </c>
      <c r="G62">
        <v>4</v>
      </c>
      <c r="H62">
        <v>50</v>
      </c>
      <c r="I62">
        <v>200</v>
      </c>
    </row>
    <row r="63" spans="1:9">
      <c r="A63">
        <v>62</v>
      </c>
      <c r="B63" s="1">
        <v>45287</v>
      </c>
      <c r="C63" t="s">
        <v>75</v>
      </c>
      <c r="D63" t="s">
        <v>10</v>
      </c>
      <c r="E63">
        <v>18</v>
      </c>
      <c r="F63" t="s">
        <v>11</v>
      </c>
      <c r="G63">
        <v>2</v>
      </c>
      <c r="H63">
        <v>50</v>
      </c>
      <c r="I63">
        <v>100</v>
      </c>
    </row>
    <row r="64" spans="1:9">
      <c r="A64">
        <v>63</v>
      </c>
      <c r="B64" s="1">
        <v>44962</v>
      </c>
      <c r="C64" t="s">
        <v>76</v>
      </c>
      <c r="D64" t="s">
        <v>10</v>
      </c>
      <c r="E64">
        <v>57</v>
      </c>
      <c r="F64" t="s">
        <v>16</v>
      </c>
      <c r="G64">
        <v>2</v>
      </c>
      <c r="H64">
        <v>25</v>
      </c>
      <c r="I64">
        <v>50</v>
      </c>
    </row>
    <row r="65" spans="1:9">
      <c r="A65">
        <v>64</v>
      </c>
      <c r="B65" s="1">
        <v>44950</v>
      </c>
      <c r="C65" t="s">
        <v>77</v>
      </c>
      <c r="D65" t="s">
        <v>10</v>
      </c>
      <c r="E65">
        <v>49</v>
      </c>
      <c r="F65" t="s">
        <v>14</v>
      </c>
      <c r="G65">
        <v>4</v>
      </c>
      <c r="H65">
        <v>25</v>
      </c>
      <c r="I65">
        <v>100</v>
      </c>
    </row>
    <row r="66" spans="1:9">
      <c r="A66">
        <v>65</v>
      </c>
      <c r="B66" s="1">
        <v>45265</v>
      </c>
      <c r="C66" t="s">
        <v>78</v>
      </c>
      <c r="D66" t="s">
        <v>10</v>
      </c>
      <c r="E66">
        <v>51</v>
      </c>
      <c r="F66" t="s">
        <v>16</v>
      </c>
      <c r="G66">
        <v>4</v>
      </c>
      <c r="H66">
        <v>500</v>
      </c>
      <c r="I66">
        <v>2000</v>
      </c>
    </row>
    <row r="67" spans="1:9">
      <c r="A67">
        <v>66</v>
      </c>
      <c r="B67" s="1">
        <v>45043</v>
      </c>
      <c r="C67" t="s">
        <v>79</v>
      </c>
      <c r="D67" t="s">
        <v>13</v>
      </c>
      <c r="E67">
        <v>45</v>
      </c>
      <c r="F67" t="s">
        <v>16</v>
      </c>
      <c r="G67">
        <v>1</v>
      </c>
      <c r="H67">
        <v>30</v>
      </c>
      <c r="I67">
        <v>30</v>
      </c>
    </row>
    <row r="68" spans="1:9">
      <c r="A68">
        <v>67</v>
      </c>
      <c r="B68" s="1">
        <v>45075</v>
      </c>
      <c r="C68" t="s">
        <v>80</v>
      </c>
      <c r="D68" t="s">
        <v>13</v>
      </c>
      <c r="E68">
        <v>48</v>
      </c>
      <c r="F68" t="s">
        <v>11</v>
      </c>
      <c r="G68">
        <v>4</v>
      </c>
      <c r="H68">
        <v>300</v>
      </c>
      <c r="I68">
        <v>1200</v>
      </c>
    </row>
    <row r="69" spans="1:9">
      <c r="A69">
        <v>68</v>
      </c>
      <c r="B69" s="1">
        <v>44967</v>
      </c>
      <c r="C69" t="s">
        <v>81</v>
      </c>
      <c r="D69" t="s">
        <v>10</v>
      </c>
      <c r="E69">
        <v>25</v>
      </c>
      <c r="F69" t="s">
        <v>16</v>
      </c>
      <c r="G69">
        <v>1</v>
      </c>
      <c r="H69">
        <v>300</v>
      </c>
      <c r="I69">
        <v>300</v>
      </c>
    </row>
    <row r="70" spans="1:9">
      <c r="A70">
        <v>69</v>
      </c>
      <c r="B70" s="1">
        <v>45046</v>
      </c>
      <c r="C70" t="s">
        <v>82</v>
      </c>
      <c r="D70" t="s">
        <v>13</v>
      </c>
      <c r="E70">
        <v>56</v>
      </c>
      <c r="F70" t="s">
        <v>11</v>
      </c>
      <c r="G70">
        <v>3</v>
      </c>
      <c r="H70">
        <v>25</v>
      </c>
      <c r="I70">
        <v>75</v>
      </c>
    </row>
    <row r="71" spans="1:9">
      <c r="A71">
        <v>70</v>
      </c>
      <c r="B71" s="1">
        <v>44978</v>
      </c>
      <c r="C71" t="s">
        <v>83</v>
      </c>
      <c r="D71" t="s">
        <v>13</v>
      </c>
      <c r="E71">
        <v>43</v>
      </c>
      <c r="F71" t="s">
        <v>14</v>
      </c>
      <c r="G71">
        <v>1</v>
      </c>
      <c r="H71">
        <v>300</v>
      </c>
      <c r="I71">
        <v>300</v>
      </c>
    </row>
    <row r="72" spans="1:9">
      <c r="A72">
        <v>71</v>
      </c>
      <c r="B72" s="1">
        <v>45121</v>
      </c>
      <c r="C72" t="s">
        <v>84</v>
      </c>
      <c r="D72" t="s">
        <v>13</v>
      </c>
      <c r="E72">
        <v>51</v>
      </c>
      <c r="F72" t="s">
        <v>11</v>
      </c>
      <c r="G72">
        <v>4</v>
      </c>
      <c r="H72">
        <v>25</v>
      </c>
      <c r="I72">
        <v>100</v>
      </c>
    </row>
    <row r="73" spans="1:9">
      <c r="A73">
        <v>72</v>
      </c>
      <c r="B73" s="1">
        <v>45069</v>
      </c>
      <c r="C73" t="s">
        <v>85</v>
      </c>
      <c r="D73" t="s">
        <v>13</v>
      </c>
      <c r="E73">
        <v>20</v>
      </c>
      <c r="F73" t="s">
        <v>16</v>
      </c>
      <c r="G73">
        <v>4</v>
      </c>
      <c r="H73">
        <v>500</v>
      </c>
      <c r="I73">
        <v>2000</v>
      </c>
    </row>
    <row r="74" spans="1:9">
      <c r="A74">
        <v>73</v>
      </c>
      <c r="B74" s="1">
        <v>45159</v>
      </c>
      <c r="C74" t="s">
        <v>86</v>
      </c>
      <c r="D74" t="s">
        <v>10</v>
      </c>
      <c r="E74">
        <v>29</v>
      </c>
      <c r="F74" t="s">
        <v>16</v>
      </c>
      <c r="G74">
        <v>3</v>
      </c>
      <c r="H74">
        <v>30</v>
      </c>
      <c r="I74">
        <v>90</v>
      </c>
    </row>
    <row r="75" spans="1:9">
      <c r="A75">
        <v>74</v>
      </c>
      <c r="B75" s="1">
        <v>45252</v>
      </c>
      <c r="C75" t="s">
        <v>87</v>
      </c>
      <c r="D75" t="s">
        <v>13</v>
      </c>
      <c r="E75">
        <v>18</v>
      </c>
      <c r="F75" t="s">
        <v>11</v>
      </c>
      <c r="G75">
        <v>4</v>
      </c>
      <c r="H75">
        <v>500</v>
      </c>
      <c r="I75">
        <v>2000</v>
      </c>
    </row>
    <row r="76" spans="1:9">
      <c r="A76">
        <v>75</v>
      </c>
      <c r="B76" s="1">
        <v>45113</v>
      </c>
      <c r="C76" t="s">
        <v>88</v>
      </c>
      <c r="D76" t="s">
        <v>10</v>
      </c>
      <c r="E76">
        <v>61</v>
      </c>
      <c r="F76" t="s">
        <v>11</v>
      </c>
      <c r="G76">
        <v>4</v>
      </c>
      <c r="H76">
        <v>50</v>
      </c>
      <c r="I76">
        <v>200</v>
      </c>
    </row>
    <row r="77" spans="1:9">
      <c r="A77">
        <v>76</v>
      </c>
      <c r="B77" s="1">
        <v>45010</v>
      </c>
      <c r="C77" t="s">
        <v>89</v>
      </c>
      <c r="D77" t="s">
        <v>13</v>
      </c>
      <c r="E77">
        <v>22</v>
      </c>
      <c r="F77" t="s">
        <v>16</v>
      </c>
      <c r="G77">
        <v>2</v>
      </c>
      <c r="H77">
        <v>50</v>
      </c>
      <c r="I77">
        <v>100</v>
      </c>
    </row>
    <row r="78" spans="1:9">
      <c r="A78">
        <v>77</v>
      </c>
      <c r="B78" s="1">
        <v>45116</v>
      </c>
      <c r="C78" t="s">
        <v>90</v>
      </c>
      <c r="D78" t="s">
        <v>13</v>
      </c>
      <c r="E78">
        <v>47</v>
      </c>
      <c r="F78" t="s">
        <v>14</v>
      </c>
      <c r="G78">
        <v>2</v>
      </c>
      <c r="H78">
        <v>50</v>
      </c>
      <c r="I78">
        <v>100</v>
      </c>
    </row>
    <row r="79" spans="1:9">
      <c r="A79">
        <v>78</v>
      </c>
      <c r="B79" s="1">
        <v>45108</v>
      </c>
      <c r="C79" t="s">
        <v>91</v>
      </c>
      <c r="D79" t="s">
        <v>13</v>
      </c>
      <c r="E79">
        <v>47</v>
      </c>
      <c r="F79" t="s">
        <v>14</v>
      </c>
      <c r="G79">
        <v>3</v>
      </c>
      <c r="H79">
        <v>500</v>
      </c>
      <c r="I79">
        <v>1500</v>
      </c>
    </row>
    <row r="80" spans="1:9">
      <c r="A80">
        <v>79</v>
      </c>
      <c r="B80" s="1">
        <v>45034</v>
      </c>
      <c r="C80" t="s">
        <v>92</v>
      </c>
      <c r="D80" t="s">
        <v>10</v>
      </c>
      <c r="E80">
        <v>34</v>
      </c>
      <c r="F80" t="s">
        <v>11</v>
      </c>
      <c r="G80">
        <v>1</v>
      </c>
      <c r="H80">
        <v>300</v>
      </c>
      <c r="I80">
        <v>300</v>
      </c>
    </row>
    <row r="81" spans="1:9">
      <c r="A81">
        <v>80</v>
      </c>
      <c r="B81" s="1">
        <v>45270</v>
      </c>
      <c r="C81" t="s">
        <v>93</v>
      </c>
      <c r="D81" t="s">
        <v>13</v>
      </c>
      <c r="E81">
        <v>64</v>
      </c>
      <c r="F81" t="s">
        <v>14</v>
      </c>
      <c r="G81">
        <v>2</v>
      </c>
      <c r="H81">
        <v>30</v>
      </c>
      <c r="I81">
        <v>60</v>
      </c>
    </row>
    <row r="82" spans="1:9">
      <c r="A82">
        <v>81</v>
      </c>
      <c r="B82" s="1">
        <v>45063</v>
      </c>
      <c r="C82" t="s">
        <v>94</v>
      </c>
      <c r="D82" t="s">
        <v>10</v>
      </c>
      <c r="E82">
        <v>40</v>
      </c>
      <c r="F82" t="s">
        <v>16</v>
      </c>
      <c r="G82">
        <v>1</v>
      </c>
      <c r="H82">
        <v>50</v>
      </c>
      <c r="I82">
        <v>50</v>
      </c>
    </row>
    <row r="83" spans="1:9">
      <c r="A83">
        <v>82</v>
      </c>
      <c r="B83" s="1">
        <v>45286</v>
      </c>
      <c r="C83" t="s">
        <v>95</v>
      </c>
      <c r="D83" t="s">
        <v>13</v>
      </c>
      <c r="E83">
        <v>32</v>
      </c>
      <c r="F83" t="s">
        <v>11</v>
      </c>
      <c r="G83">
        <v>4</v>
      </c>
      <c r="H83">
        <v>50</v>
      </c>
      <c r="I83">
        <v>200</v>
      </c>
    </row>
    <row r="84" spans="1:9">
      <c r="A84">
        <v>83</v>
      </c>
      <c r="B84" s="1">
        <v>45276</v>
      </c>
      <c r="C84" t="s">
        <v>96</v>
      </c>
      <c r="D84" t="s">
        <v>10</v>
      </c>
      <c r="E84">
        <v>54</v>
      </c>
      <c r="F84" t="s">
        <v>16</v>
      </c>
      <c r="G84">
        <v>2</v>
      </c>
      <c r="H84">
        <v>50</v>
      </c>
      <c r="I84">
        <v>100</v>
      </c>
    </row>
    <row r="85" spans="1:9">
      <c r="A85">
        <v>84</v>
      </c>
      <c r="B85" s="1">
        <v>45258</v>
      </c>
      <c r="C85" t="s">
        <v>97</v>
      </c>
      <c r="D85" t="s">
        <v>13</v>
      </c>
      <c r="E85">
        <v>38</v>
      </c>
      <c r="F85" t="s">
        <v>16</v>
      </c>
      <c r="G85">
        <v>3</v>
      </c>
      <c r="H85">
        <v>30</v>
      </c>
      <c r="I85">
        <v>90</v>
      </c>
    </row>
    <row r="86" spans="1:9">
      <c r="A86">
        <v>85</v>
      </c>
      <c r="B86" s="1">
        <v>44963</v>
      </c>
      <c r="C86" t="s">
        <v>98</v>
      </c>
      <c r="D86" t="s">
        <v>10</v>
      </c>
      <c r="E86">
        <v>31</v>
      </c>
      <c r="F86" t="s">
        <v>14</v>
      </c>
      <c r="G86">
        <v>3</v>
      </c>
      <c r="H86">
        <v>50</v>
      </c>
      <c r="I86">
        <v>150</v>
      </c>
    </row>
    <row r="87" spans="1:9">
      <c r="A87">
        <v>86</v>
      </c>
      <c r="B87" s="1">
        <v>45238</v>
      </c>
      <c r="C87" t="s">
        <v>99</v>
      </c>
      <c r="D87" t="s">
        <v>10</v>
      </c>
      <c r="E87">
        <v>19</v>
      </c>
      <c r="F87" t="s">
        <v>11</v>
      </c>
      <c r="G87">
        <v>3</v>
      </c>
      <c r="H87">
        <v>30</v>
      </c>
      <c r="I87">
        <v>90</v>
      </c>
    </row>
    <row r="88" spans="1:9">
      <c r="A88">
        <v>87</v>
      </c>
      <c r="B88" s="1">
        <v>45252</v>
      </c>
      <c r="C88" t="s">
        <v>100</v>
      </c>
      <c r="D88" t="s">
        <v>13</v>
      </c>
      <c r="E88">
        <v>28</v>
      </c>
      <c r="F88" t="s">
        <v>11</v>
      </c>
      <c r="G88">
        <v>2</v>
      </c>
      <c r="H88">
        <v>50</v>
      </c>
      <c r="I88">
        <v>100</v>
      </c>
    </row>
    <row r="89" spans="1:9">
      <c r="A89">
        <v>88</v>
      </c>
      <c r="B89" s="1">
        <v>45014</v>
      </c>
      <c r="C89" t="s">
        <v>101</v>
      </c>
      <c r="D89" t="s">
        <v>10</v>
      </c>
      <c r="E89">
        <v>56</v>
      </c>
      <c r="F89" t="s">
        <v>14</v>
      </c>
      <c r="G89">
        <v>1</v>
      </c>
      <c r="H89">
        <v>500</v>
      </c>
      <c r="I89">
        <v>500</v>
      </c>
    </row>
    <row r="90" spans="1:9">
      <c r="A90">
        <v>89</v>
      </c>
      <c r="B90" s="1">
        <v>45200</v>
      </c>
      <c r="C90" t="s">
        <v>102</v>
      </c>
      <c r="D90" t="s">
        <v>13</v>
      </c>
      <c r="E90">
        <v>55</v>
      </c>
      <c r="F90" t="s">
        <v>16</v>
      </c>
      <c r="G90">
        <v>4</v>
      </c>
      <c r="H90">
        <v>500</v>
      </c>
      <c r="I90">
        <v>2000</v>
      </c>
    </row>
    <row r="91" spans="1:9">
      <c r="A91">
        <v>90</v>
      </c>
      <c r="B91" s="1">
        <v>45052</v>
      </c>
      <c r="C91" t="s">
        <v>103</v>
      </c>
      <c r="D91" t="s">
        <v>13</v>
      </c>
      <c r="E91">
        <v>51</v>
      </c>
      <c r="F91" t="s">
        <v>16</v>
      </c>
      <c r="G91">
        <v>1</v>
      </c>
      <c r="H91">
        <v>30</v>
      </c>
      <c r="I91">
        <v>30</v>
      </c>
    </row>
    <row r="92" spans="1:9">
      <c r="A92">
        <v>91</v>
      </c>
      <c r="B92" s="1">
        <v>45010</v>
      </c>
      <c r="C92" t="s">
        <v>104</v>
      </c>
      <c r="D92" t="s">
        <v>13</v>
      </c>
      <c r="E92">
        <v>55</v>
      </c>
      <c r="F92" t="s">
        <v>16</v>
      </c>
      <c r="G92">
        <v>1</v>
      </c>
      <c r="H92">
        <v>500</v>
      </c>
      <c r="I92">
        <v>500</v>
      </c>
    </row>
    <row r="93" spans="1:9">
      <c r="A93">
        <v>92</v>
      </c>
      <c r="B93" s="1">
        <v>45163</v>
      </c>
      <c r="C93" t="s">
        <v>105</v>
      </c>
      <c r="D93" t="s">
        <v>13</v>
      </c>
      <c r="E93">
        <v>51</v>
      </c>
      <c r="F93" t="s">
        <v>16</v>
      </c>
      <c r="G93">
        <v>4</v>
      </c>
      <c r="H93">
        <v>30</v>
      </c>
      <c r="I93">
        <v>120</v>
      </c>
    </row>
    <row r="94" spans="1:9">
      <c r="A94">
        <v>93</v>
      </c>
      <c r="B94" s="1">
        <v>45121</v>
      </c>
      <c r="C94" t="s">
        <v>106</v>
      </c>
      <c r="D94" t="s">
        <v>13</v>
      </c>
      <c r="E94">
        <v>35</v>
      </c>
      <c r="F94" t="s">
        <v>11</v>
      </c>
      <c r="G94">
        <v>4</v>
      </c>
      <c r="H94">
        <v>500</v>
      </c>
      <c r="I94">
        <v>2000</v>
      </c>
    </row>
    <row r="95" spans="1:9">
      <c r="A95">
        <v>94</v>
      </c>
      <c r="B95" s="1">
        <v>45065</v>
      </c>
      <c r="C95" t="s">
        <v>107</v>
      </c>
      <c r="D95" t="s">
        <v>13</v>
      </c>
      <c r="E95">
        <v>47</v>
      </c>
      <c r="F95" t="s">
        <v>11</v>
      </c>
      <c r="G95">
        <v>2</v>
      </c>
      <c r="H95">
        <v>500</v>
      </c>
      <c r="I95">
        <v>1000</v>
      </c>
    </row>
    <row r="96" spans="1:9">
      <c r="A96">
        <v>95</v>
      </c>
      <c r="B96" s="1">
        <v>45254</v>
      </c>
      <c r="C96" t="s">
        <v>108</v>
      </c>
      <c r="D96" t="s">
        <v>13</v>
      </c>
      <c r="E96">
        <v>32</v>
      </c>
      <c r="F96" t="s">
        <v>14</v>
      </c>
      <c r="G96">
        <v>2</v>
      </c>
      <c r="H96">
        <v>30</v>
      </c>
      <c r="I96">
        <v>60</v>
      </c>
    </row>
    <row r="97" spans="1:9">
      <c r="A97">
        <v>96</v>
      </c>
      <c r="B97" s="1">
        <v>45279</v>
      </c>
      <c r="C97" t="s">
        <v>109</v>
      </c>
      <c r="D97" t="s">
        <v>13</v>
      </c>
      <c r="E97">
        <v>44</v>
      </c>
      <c r="F97" t="s">
        <v>14</v>
      </c>
      <c r="G97">
        <v>2</v>
      </c>
      <c r="H97">
        <v>300</v>
      </c>
      <c r="I97">
        <v>600</v>
      </c>
    </row>
    <row r="98" spans="1:9">
      <c r="A98">
        <v>97</v>
      </c>
      <c r="B98" s="1">
        <v>45212</v>
      </c>
      <c r="C98" t="s">
        <v>110</v>
      </c>
      <c r="D98" t="s">
        <v>13</v>
      </c>
      <c r="E98">
        <v>51</v>
      </c>
      <c r="F98" t="s">
        <v>11</v>
      </c>
      <c r="G98">
        <v>2</v>
      </c>
      <c r="H98">
        <v>500</v>
      </c>
      <c r="I98">
        <v>1000</v>
      </c>
    </row>
    <row r="99" spans="1:9">
      <c r="A99">
        <v>98</v>
      </c>
      <c r="B99" s="1">
        <v>45039</v>
      </c>
      <c r="C99" t="s">
        <v>111</v>
      </c>
      <c r="D99" t="s">
        <v>13</v>
      </c>
      <c r="E99">
        <v>55</v>
      </c>
      <c r="F99" t="s">
        <v>11</v>
      </c>
      <c r="G99">
        <v>2</v>
      </c>
      <c r="H99">
        <v>50</v>
      </c>
      <c r="I99">
        <v>100</v>
      </c>
    </row>
    <row r="100" spans="1:9">
      <c r="A100">
        <v>99</v>
      </c>
      <c r="B100" s="1">
        <v>45277</v>
      </c>
      <c r="C100" t="s">
        <v>112</v>
      </c>
      <c r="D100" t="s">
        <v>13</v>
      </c>
      <c r="E100">
        <v>50</v>
      </c>
      <c r="F100" t="s">
        <v>16</v>
      </c>
      <c r="G100">
        <v>4</v>
      </c>
      <c r="H100">
        <v>300</v>
      </c>
      <c r="I100">
        <v>1200</v>
      </c>
    </row>
    <row r="101" spans="1:9">
      <c r="A101">
        <v>100</v>
      </c>
      <c r="B101" s="1">
        <v>45093</v>
      </c>
      <c r="C101" t="s">
        <v>113</v>
      </c>
      <c r="D101" t="s">
        <v>10</v>
      </c>
      <c r="E101">
        <v>41</v>
      </c>
      <c r="F101" t="s">
        <v>16</v>
      </c>
      <c r="G101">
        <v>1</v>
      </c>
      <c r="H101">
        <v>30</v>
      </c>
      <c r="I101">
        <v>30</v>
      </c>
    </row>
    <row r="102" spans="1:9">
      <c r="A102">
        <v>101</v>
      </c>
      <c r="B102" s="1">
        <v>44955</v>
      </c>
      <c r="C102" t="s">
        <v>114</v>
      </c>
      <c r="D102" t="s">
        <v>10</v>
      </c>
      <c r="E102">
        <v>32</v>
      </c>
      <c r="F102" t="s">
        <v>14</v>
      </c>
      <c r="G102">
        <v>2</v>
      </c>
      <c r="H102">
        <v>300</v>
      </c>
      <c r="I102">
        <v>600</v>
      </c>
    </row>
    <row r="103" spans="1:9">
      <c r="A103">
        <v>102</v>
      </c>
      <c r="B103" s="1">
        <v>45044</v>
      </c>
      <c r="C103" t="s">
        <v>115</v>
      </c>
      <c r="D103" t="s">
        <v>13</v>
      </c>
      <c r="E103">
        <v>47</v>
      </c>
      <c r="F103" t="s">
        <v>11</v>
      </c>
      <c r="G103">
        <v>2</v>
      </c>
      <c r="H103">
        <v>25</v>
      </c>
      <c r="I103">
        <v>50</v>
      </c>
    </row>
    <row r="104" spans="1:9">
      <c r="A104">
        <v>103</v>
      </c>
      <c r="B104" s="1">
        <v>44943</v>
      </c>
      <c r="C104" t="s">
        <v>116</v>
      </c>
      <c r="D104" t="s">
        <v>13</v>
      </c>
      <c r="E104">
        <v>59</v>
      </c>
      <c r="F104" t="s">
        <v>14</v>
      </c>
      <c r="G104">
        <v>1</v>
      </c>
      <c r="H104">
        <v>25</v>
      </c>
      <c r="I104">
        <v>25</v>
      </c>
    </row>
    <row r="105" spans="1:9">
      <c r="A105">
        <v>104</v>
      </c>
      <c r="B105" s="1">
        <v>45088</v>
      </c>
      <c r="C105" t="s">
        <v>117</v>
      </c>
      <c r="D105" t="s">
        <v>13</v>
      </c>
      <c r="E105">
        <v>34</v>
      </c>
      <c r="F105" t="s">
        <v>11</v>
      </c>
      <c r="G105">
        <v>2</v>
      </c>
      <c r="H105">
        <v>500</v>
      </c>
      <c r="I105">
        <v>1000</v>
      </c>
    </row>
    <row r="106" spans="1:9">
      <c r="A106">
        <v>105</v>
      </c>
      <c r="B106" s="1">
        <v>45132</v>
      </c>
      <c r="C106" t="s">
        <v>118</v>
      </c>
      <c r="D106" t="s">
        <v>13</v>
      </c>
      <c r="E106">
        <v>22</v>
      </c>
      <c r="F106" t="s">
        <v>16</v>
      </c>
      <c r="G106">
        <v>1</v>
      </c>
      <c r="H106">
        <v>500</v>
      </c>
      <c r="I106">
        <v>500</v>
      </c>
    </row>
    <row r="107" spans="1:9">
      <c r="A107">
        <v>106</v>
      </c>
      <c r="B107" s="1">
        <v>45064</v>
      </c>
      <c r="C107" t="s">
        <v>119</v>
      </c>
      <c r="D107" t="s">
        <v>13</v>
      </c>
      <c r="E107">
        <v>46</v>
      </c>
      <c r="F107" t="s">
        <v>14</v>
      </c>
      <c r="G107">
        <v>1</v>
      </c>
      <c r="H107">
        <v>50</v>
      </c>
      <c r="I107">
        <v>50</v>
      </c>
    </row>
    <row r="108" spans="1:9">
      <c r="A108">
        <v>107</v>
      </c>
      <c r="B108" s="1">
        <v>44960</v>
      </c>
      <c r="C108" t="s">
        <v>120</v>
      </c>
      <c r="D108" t="s">
        <v>13</v>
      </c>
      <c r="E108">
        <v>21</v>
      </c>
      <c r="F108" t="s">
        <v>14</v>
      </c>
      <c r="G108">
        <v>4</v>
      </c>
      <c r="H108">
        <v>300</v>
      </c>
      <c r="I108">
        <v>1200</v>
      </c>
    </row>
    <row r="109" spans="1:9">
      <c r="A109">
        <v>108</v>
      </c>
      <c r="B109" s="1">
        <v>45035</v>
      </c>
      <c r="C109" t="s">
        <v>121</v>
      </c>
      <c r="D109" t="s">
        <v>13</v>
      </c>
      <c r="E109">
        <v>27</v>
      </c>
      <c r="F109" t="s">
        <v>11</v>
      </c>
      <c r="G109">
        <v>3</v>
      </c>
      <c r="H109">
        <v>25</v>
      </c>
      <c r="I109">
        <v>75</v>
      </c>
    </row>
    <row r="110" spans="1:9">
      <c r="A110">
        <v>109</v>
      </c>
      <c r="B110" s="1">
        <v>45217</v>
      </c>
      <c r="C110" t="s">
        <v>122</v>
      </c>
      <c r="D110" t="s">
        <v>13</v>
      </c>
      <c r="E110">
        <v>34</v>
      </c>
      <c r="F110" t="s">
        <v>16</v>
      </c>
      <c r="G110">
        <v>4</v>
      </c>
      <c r="H110">
        <v>500</v>
      </c>
      <c r="I110">
        <v>2000</v>
      </c>
    </row>
    <row r="111" spans="1:9">
      <c r="A111">
        <v>110</v>
      </c>
      <c r="B111" s="1">
        <v>45088</v>
      </c>
      <c r="C111" t="s">
        <v>123</v>
      </c>
      <c r="D111" t="s">
        <v>10</v>
      </c>
      <c r="E111">
        <v>27</v>
      </c>
      <c r="F111" t="s">
        <v>14</v>
      </c>
      <c r="G111">
        <v>3</v>
      </c>
      <c r="H111">
        <v>300</v>
      </c>
      <c r="I111">
        <v>900</v>
      </c>
    </row>
    <row r="112" spans="1:9">
      <c r="A112">
        <v>111</v>
      </c>
      <c r="B112" s="1">
        <v>45035</v>
      </c>
      <c r="C112" t="s">
        <v>124</v>
      </c>
      <c r="D112" t="s">
        <v>13</v>
      </c>
      <c r="E112">
        <v>34</v>
      </c>
      <c r="F112" t="s">
        <v>16</v>
      </c>
      <c r="G112">
        <v>3</v>
      </c>
      <c r="H112">
        <v>500</v>
      </c>
      <c r="I112">
        <v>1500</v>
      </c>
    </row>
    <row r="113" spans="1:9">
      <c r="A113">
        <v>112</v>
      </c>
      <c r="B113" s="1">
        <v>45262</v>
      </c>
      <c r="C113" t="s">
        <v>125</v>
      </c>
      <c r="D113" t="s">
        <v>10</v>
      </c>
      <c r="E113">
        <v>37</v>
      </c>
      <c r="F113" t="s">
        <v>14</v>
      </c>
      <c r="G113">
        <v>3</v>
      </c>
      <c r="H113">
        <v>500</v>
      </c>
      <c r="I113">
        <v>1500</v>
      </c>
    </row>
    <row r="114" spans="1:9">
      <c r="A114">
        <v>113</v>
      </c>
      <c r="B114" s="1">
        <v>45182</v>
      </c>
      <c r="C114" t="s">
        <v>126</v>
      </c>
      <c r="D114" t="s">
        <v>13</v>
      </c>
      <c r="E114">
        <v>41</v>
      </c>
      <c r="F114" t="s">
        <v>16</v>
      </c>
      <c r="G114">
        <v>2</v>
      </c>
      <c r="H114">
        <v>25</v>
      </c>
      <c r="I114">
        <v>50</v>
      </c>
    </row>
    <row r="115" spans="1:9">
      <c r="A115">
        <v>114</v>
      </c>
      <c r="B115" s="1">
        <v>45129</v>
      </c>
      <c r="C115" t="s">
        <v>127</v>
      </c>
      <c r="D115" t="s">
        <v>13</v>
      </c>
      <c r="E115">
        <v>22</v>
      </c>
      <c r="F115" t="s">
        <v>11</v>
      </c>
      <c r="G115">
        <v>4</v>
      </c>
      <c r="H115">
        <v>25</v>
      </c>
      <c r="I115">
        <v>100</v>
      </c>
    </row>
    <row r="116" spans="1:9">
      <c r="A116">
        <v>115</v>
      </c>
      <c r="B116" s="1">
        <v>45256</v>
      </c>
      <c r="C116" t="s">
        <v>128</v>
      </c>
      <c r="D116" t="s">
        <v>10</v>
      </c>
      <c r="E116">
        <v>51</v>
      </c>
      <c r="F116" t="s">
        <v>14</v>
      </c>
      <c r="G116">
        <v>3</v>
      </c>
      <c r="H116">
        <v>500</v>
      </c>
      <c r="I116">
        <v>1500</v>
      </c>
    </row>
    <row r="117" spans="1:9">
      <c r="A117">
        <v>116</v>
      </c>
      <c r="B117" s="1">
        <v>45161</v>
      </c>
      <c r="C117" t="s">
        <v>129</v>
      </c>
      <c r="D117" t="s">
        <v>13</v>
      </c>
      <c r="E117">
        <v>23</v>
      </c>
      <c r="F117" t="s">
        <v>14</v>
      </c>
      <c r="G117">
        <v>1</v>
      </c>
      <c r="H117">
        <v>30</v>
      </c>
      <c r="I117">
        <v>30</v>
      </c>
    </row>
    <row r="118" spans="1:9">
      <c r="A118">
        <v>117</v>
      </c>
      <c r="B118" s="1">
        <v>45000</v>
      </c>
      <c r="C118" t="s">
        <v>130</v>
      </c>
      <c r="D118" t="s">
        <v>10</v>
      </c>
      <c r="E118">
        <v>19</v>
      </c>
      <c r="F118" t="s">
        <v>16</v>
      </c>
      <c r="G118">
        <v>2</v>
      </c>
      <c r="H118">
        <v>500</v>
      </c>
      <c r="I118">
        <v>1000</v>
      </c>
    </row>
    <row r="119" spans="1:9">
      <c r="A119">
        <v>118</v>
      </c>
      <c r="B119" s="1">
        <v>45062</v>
      </c>
      <c r="C119" t="s">
        <v>131</v>
      </c>
      <c r="D119" t="s">
        <v>13</v>
      </c>
      <c r="E119">
        <v>30</v>
      </c>
      <c r="F119" t="s">
        <v>16</v>
      </c>
      <c r="G119">
        <v>4</v>
      </c>
      <c r="H119">
        <v>500</v>
      </c>
      <c r="I119">
        <v>2000</v>
      </c>
    </row>
    <row r="120" spans="1:9">
      <c r="A120">
        <v>119</v>
      </c>
      <c r="B120" s="1">
        <v>44998</v>
      </c>
      <c r="C120" t="s">
        <v>132</v>
      </c>
      <c r="D120" t="s">
        <v>13</v>
      </c>
      <c r="E120">
        <v>60</v>
      </c>
      <c r="F120" t="s">
        <v>14</v>
      </c>
      <c r="G120">
        <v>3</v>
      </c>
      <c r="H120">
        <v>50</v>
      </c>
      <c r="I120">
        <v>150</v>
      </c>
    </row>
    <row r="121" spans="1:9">
      <c r="A121">
        <v>120</v>
      </c>
      <c r="B121" s="1">
        <v>45053</v>
      </c>
      <c r="C121" t="s">
        <v>133</v>
      </c>
      <c r="D121" t="s">
        <v>10</v>
      </c>
      <c r="E121">
        <v>60</v>
      </c>
      <c r="F121" t="s">
        <v>11</v>
      </c>
      <c r="G121">
        <v>1</v>
      </c>
      <c r="H121">
        <v>50</v>
      </c>
      <c r="I121">
        <v>50</v>
      </c>
    </row>
    <row r="122" spans="1:9">
      <c r="A122">
        <v>121</v>
      </c>
      <c r="B122" s="1">
        <v>45214</v>
      </c>
      <c r="C122" t="s">
        <v>134</v>
      </c>
      <c r="D122" t="s">
        <v>13</v>
      </c>
      <c r="E122">
        <v>28</v>
      </c>
      <c r="F122" t="s">
        <v>16</v>
      </c>
      <c r="G122">
        <v>4</v>
      </c>
      <c r="H122">
        <v>50</v>
      </c>
      <c r="I122">
        <v>200</v>
      </c>
    </row>
    <row r="123" spans="1:9">
      <c r="A123">
        <v>122</v>
      </c>
      <c r="B123" s="1">
        <v>45202</v>
      </c>
      <c r="C123" t="s">
        <v>135</v>
      </c>
      <c r="D123" t="s">
        <v>10</v>
      </c>
      <c r="E123">
        <v>64</v>
      </c>
      <c r="F123" t="s">
        <v>16</v>
      </c>
      <c r="G123">
        <v>4</v>
      </c>
      <c r="H123">
        <v>30</v>
      </c>
      <c r="I123">
        <v>120</v>
      </c>
    </row>
    <row r="124" spans="1:9">
      <c r="A124">
        <v>123</v>
      </c>
      <c r="B124" s="1">
        <v>45061</v>
      </c>
      <c r="C124" t="s">
        <v>136</v>
      </c>
      <c r="D124" t="s">
        <v>13</v>
      </c>
      <c r="E124">
        <v>40</v>
      </c>
      <c r="F124" t="s">
        <v>16</v>
      </c>
      <c r="G124">
        <v>2</v>
      </c>
      <c r="H124">
        <v>30</v>
      </c>
      <c r="I124">
        <v>60</v>
      </c>
    </row>
    <row r="125" spans="1:9">
      <c r="A125">
        <v>124</v>
      </c>
      <c r="B125" s="1">
        <v>45226</v>
      </c>
      <c r="C125" t="s">
        <v>137</v>
      </c>
      <c r="D125" t="s">
        <v>10</v>
      </c>
      <c r="E125">
        <v>33</v>
      </c>
      <c r="F125" t="s">
        <v>14</v>
      </c>
      <c r="G125">
        <v>4</v>
      </c>
      <c r="H125">
        <v>500</v>
      </c>
      <c r="I125">
        <v>2000</v>
      </c>
    </row>
    <row r="126" spans="1:9">
      <c r="A126">
        <v>125</v>
      </c>
      <c r="B126" s="1">
        <v>45146</v>
      </c>
      <c r="C126" t="s">
        <v>138</v>
      </c>
      <c r="D126" t="s">
        <v>10</v>
      </c>
      <c r="E126">
        <v>48</v>
      </c>
      <c r="F126" t="s">
        <v>14</v>
      </c>
      <c r="G126">
        <v>2</v>
      </c>
      <c r="H126">
        <v>50</v>
      </c>
      <c r="I126">
        <v>100</v>
      </c>
    </row>
    <row r="127" spans="1:9">
      <c r="A127">
        <v>126</v>
      </c>
      <c r="B127" s="1">
        <v>45225</v>
      </c>
      <c r="C127" t="s">
        <v>139</v>
      </c>
      <c r="D127" t="s">
        <v>13</v>
      </c>
      <c r="E127">
        <v>28</v>
      </c>
      <c r="F127" t="s">
        <v>14</v>
      </c>
      <c r="G127">
        <v>3</v>
      </c>
      <c r="H127">
        <v>30</v>
      </c>
      <c r="I127">
        <v>90</v>
      </c>
    </row>
    <row r="128" spans="1:9">
      <c r="A128">
        <v>127</v>
      </c>
      <c r="B128" s="1">
        <v>45131</v>
      </c>
      <c r="C128" t="s">
        <v>140</v>
      </c>
      <c r="D128" t="s">
        <v>13</v>
      </c>
      <c r="E128">
        <v>33</v>
      </c>
      <c r="F128" t="s">
        <v>14</v>
      </c>
      <c r="G128">
        <v>2</v>
      </c>
      <c r="H128">
        <v>25</v>
      </c>
      <c r="I128">
        <v>50</v>
      </c>
    </row>
    <row r="129" spans="1:9">
      <c r="A129">
        <v>128</v>
      </c>
      <c r="B129" s="1">
        <v>45112</v>
      </c>
      <c r="C129" t="s">
        <v>141</v>
      </c>
      <c r="D129" t="s">
        <v>10</v>
      </c>
      <c r="E129">
        <v>25</v>
      </c>
      <c r="F129" t="s">
        <v>11</v>
      </c>
      <c r="G129">
        <v>1</v>
      </c>
      <c r="H129">
        <v>500</v>
      </c>
      <c r="I129">
        <v>500</v>
      </c>
    </row>
    <row r="130" spans="1:9">
      <c r="A130">
        <v>129</v>
      </c>
      <c r="B130" s="1">
        <v>45039</v>
      </c>
      <c r="C130" t="s">
        <v>142</v>
      </c>
      <c r="D130" t="s">
        <v>13</v>
      </c>
      <c r="E130">
        <v>21</v>
      </c>
      <c r="F130" t="s">
        <v>11</v>
      </c>
      <c r="G130">
        <v>2</v>
      </c>
      <c r="H130">
        <v>300</v>
      </c>
      <c r="I130">
        <v>600</v>
      </c>
    </row>
    <row r="131" spans="1:9">
      <c r="A131">
        <v>130</v>
      </c>
      <c r="B131" s="1">
        <v>44997</v>
      </c>
      <c r="C131" t="s">
        <v>143</v>
      </c>
      <c r="D131" t="s">
        <v>13</v>
      </c>
      <c r="E131">
        <v>57</v>
      </c>
      <c r="F131" t="s">
        <v>14</v>
      </c>
      <c r="G131">
        <v>1</v>
      </c>
      <c r="H131">
        <v>500</v>
      </c>
      <c r="I131">
        <v>500</v>
      </c>
    </row>
    <row r="132" spans="1:9">
      <c r="A132">
        <v>131</v>
      </c>
      <c r="B132" s="1">
        <v>45187</v>
      </c>
      <c r="C132" t="s">
        <v>144</v>
      </c>
      <c r="D132" t="s">
        <v>13</v>
      </c>
      <c r="E132">
        <v>21</v>
      </c>
      <c r="F132" t="s">
        <v>11</v>
      </c>
      <c r="G132">
        <v>2</v>
      </c>
      <c r="H132">
        <v>300</v>
      </c>
      <c r="I132">
        <v>600</v>
      </c>
    </row>
    <row r="133" spans="1:9">
      <c r="A133">
        <v>132</v>
      </c>
      <c r="B133" s="1">
        <v>45179</v>
      </c>
      <c r="C133" t="s">
        <v>145</v>
      </c>
      <c r="D133" t="s">
        <v>10</v>
      </c>
      <c r="E133">
        <v>42</v>
      </c>
      <c r="F133" t="s">
        <v>16</v>
      </c>
      <c r="G133">
        <v>4</v>
      </c>
      <c r="H133">
        <v>50</v>
      </c>
      <c r="I133">
        <v>200</v>
      </c>
    </row>
    <row r="134" spans="1:9">
      <c r="A134">
        <v>133</v>
      </c>
      <c r="B134" s="1">
        <v>44973</v>
      </c>
      <c r="C134" t="s">
        <v>146</v>
      </c>
      <c r="D134" t="s">
        <v>10</v>
      </c>
      <c r="E134">
        <v>20</v>
      </c>
      <c r="F134" t="s">
        <v>16</v>
      </c>
      <c r="G134">
        <v>3</v>
      </c>
      <c r="H134">
        <v>300</v>
      </c>
      <c r="I134">
        <v>900</v>
      </c>
    </row>
    <row r="135" spans="1:9">
      <c r="A135">
        <v>134</v>
      </c>
      <c r="B135" s="1">
        <v>44951</v>
      </c>
      <c r="C135" t="s">
        <v>147</v>
      </c>
      <c r="D135" t="s">
        <v>10</v>
      </c>
      <c r="E135">
        <v>49</v>
      </c>
      <c r="F135" t="s">
        <v>16</v>
      </c>
      <c r="G135">
        <v>1</v>
      </c>
      <c r="H135">
        <v>50</v>
      </c>
      <c r="I135">
        <v>50</v>
      </c>
    </row>
    <row r="136" spans="1:9">
      <c r="A136">
        <v>135</v>
      </c>
      <c r="B136" s="1">
        <v>44983</v>
      </c>
      <c r="C136" t="s">
        <v>148</v>
      </c>
      <c r="D136" t="s">
        <v>10</v>
      </c>
      <c r="E136">
        <v>20</v>
      </c>
      <c r="F136" t="s">
        <v>14</v>
      </c>
      <c r="G136">
        <v>2</v>
      </c>
      <c r="H136">
        <v>25</v>
      </c>
      <c r="I136">
        <v>50</v>
      </c>
    </row>
    <row r="137" spans="1:9">
      <c r="A137">
        <v>136</v>
      </c>
      <c r="B137" s="1">
        <v>45005</v>
      </c>
      <c r="C137" t="s">
        <v>149</v>
      </c>
      <c r="D137" t="s">
        <v>10</v>
      </c>
      <c r="E137">
        <v>44</v>
      </c>
      <c r="F137" t="s">
        <v>16</v>
      </c>
      <c r="G137">
        <v>2</v>
      </c>
      <c r="H137">
        <v>300</v>
      </c>
      <c r="I137">
        <v>600</v>
      </c>
    </row>
    <row r="138" spans="1:9">
      <c r="A138">
        <v>137</v>
      </c>
      <c r="B138" s="1">
        <v>45248</v>
      </c>
      <c r="C138" t="s">
        <v>150</v>
      </c>
      <c r="D138" t="s">
        <v>10</v>
      </c>
      <c r="E138">
        <v>46</v>
      </c>
      <c r="F138" t="s">
        <v>11</v>
      </c>
      <c r="G138">
        <v>2</v>
      </c>
      <c r="H138">
        <v>500</v>
      </c>
      <c r="I138">
        <v>1000</v>
      </c>
    </row>
    <row r="139" spans="1:9">
      <c r="A139">
        <v>138</v>
      </c>
      <c r="B139" s="1">
        <v>45008</v>
      </c>
      <c r="C139" t="s">
        <v>151</v>
      </c>
      <c r="D139" t="s">
        <v>10</v>
      </c>
      <c r="E139">
        <v>49</v>
      </c>
      <c r="F139" t="s">
        <v>14</v>
      </c>
      <c r="G139">
        <v>4</v>
      </c>
      <c r="H139">
        <v>50</v>
      </c>
      <c r="I139">
        <v>200</v>
      </c>
    </row>
    <row r="140" spans="1:9">
      <c r="A140">
        <v>139</v>
      </c>
      <c r="B140" s="1">
        <v>45275</v>
      </c>
      <c r="C140" t="s">
        <v>152</v>
      </c>
      <c r="D140" t="s">
        <v>10</v>
      </c>
      <c r="E140">
        <v>36</v>
      </c>
      <c r="F140" t="s">
        <v>11</v>
      </c>
      <c r="G140">
        <v>4</v>
      </c>
      <c r="H140">
        <v>500</v>
      </c>
      <c r="I140">
        <v>2000</v>
      </c>
    </row>
    <row r="141" spans="1:9">
      <c r="A141">
        <v>140</v>
      </c>
      <c r="B141" s="1">
        <v>45143</v>
      </c>
      <c r="C141" t="s">
        <v>153</v>
      </c>
      <c r="D141" t="s">
        <v>10</v>
      </c>
      <c r="E141">
        <v>38</v>
      </c>
      <c r="F141" t="s">
        <v>16</v>
      </c>
      <c r="G141">
        <v>1</v>
      </c>
      <c r="H141">
        <v>30</v>
      </c>
      <c r="I141">
        <v>30</v>
      </c>
    </row>
    <row r="142" spans="1:9">
      <c r="A142">
        <v>141</v>
      </c>
      <c r="B142" s="1">
        <v>45232</v>
      </c>
      <c r="C142" t="s">
        <v>154</v>
      </c>
      <c r="D142" t="s">
        <v>13</v>
      </c>
      <c r="E142">
        <v>22</v>
      </c>
      <c r="F142" t="s">
        <v>16</v>
      </c>
      <c r="G142">
        <v>1</v>
      </c>
      <c r="H142">
        <v>50</v>
      </c>
      <c r="I142">
        <v>50</v>
      </c>
    </row>
    <row r="143" spans="1:9">
      <c r="A143">
        <v>142</v>
      </c>
      <c r="B143" s="1">
        <v>44959</v>
      </c>
      <c r="C143" t="s">
        <v>155</v>
      </c>
      <c r="D143" t="s">
        <v>10</v>
      </c>
      <c r="E143">
        <v>35</v>
      </c>
      <c r="F143" t="s">
        <v>16</v>
      </c>
      <c r="G143">
        <v>4</v>
      </c>
      <c r="H143">
        <v>300</v>
      </c>
      <c r="I143">
        <v>1200</v>
      </c>
    </row>
    <row r="144" spans="1:9">
      <c r="A144">
        <v>143</v>
      </c>
      <c r="B144" s="1">
        <v>45124</v>
      </c>
      <c r="C144" t="s">
        <v>156</v>
      </c>
      <c r="D144" t="s">
        <v>13</v>
      </c>
      <c r="E144">
        <v>45</v>
      </c>
      <c r="F144" t="s">
        <v>14</v>
      </c>
      <c r="G144">
        <v>1</v>
      </c>
      <c r="H144">
        <v>50</v>
      </c>
      <c r="I144">
        <v>50</v>
      </c>
    </row>
    <row r="145" spans="1:9">
      <c r="A145">
        <v>144</v>
      </c>
      <c r="B145" s="1">
        <v>45122</v>
      </c>
      <c r="C145" t="s">
        <v>157</v>
      </c>
      <c r="D145" t="s">
        <v>13</v>
      </c>
      <c r="E145">
        <v>59</v>
      </c>
      <c r="F145" t="s">
        <v>11</v>
      </c>
      <c r="G145">
        <v>3</v>
      </c>
      <c r="H145">
        <v>500</v>
      </c>
      <c r="I145">
        <v>1500</v>
      </c>
    </row>
    <row r="146" spans="1:9">
      <c r="A146">
        <v>145</v>
      </c>
      <c r="B146" s="1">
        <v>45232</v>
      </c>
      <c r="C146" t="s">
        <v>158</v>
      </c>
      <c r="D146" t="s">
        <v>13</v>
      </c>
      <c r="E146">
        <v>39</v>
      </c>
      <c r="F146" t="s">
        <v>14</v>
      </c>
      <c r="G146">
        <v>3</v>
      </c>
      <c r="H146">
        <v>25</v>
      </c>
      <c r="I146">
        <v>75</v>
      </c>
    </row>
    <row r="147" spans="1:9">
      <c r="A147">
        <v>146</v>
      </c>
      <c r="B147" s="1">
        <v>45166</v>
      </c>
      <c r="C147" t="s">
        <v>159</v>
      </c>
      <c r="D147" t="s">
        <v>10</v>
      </c>
      <c r="E147">
        <v>38</v>
      </c>
      <c r="F147" t="s">
        <v>14</v>
      </c>
      <c r="G147">
        <v>4</v>
      </c>
      <c r="H147">
        <v>50</v>
      </c>
      <c r="I147">
        <v>200</v>
      </c>
    </row>
    <row r="148" spans="1:9">
      <c r="A148">
        <v>147</v>
      </c>
      <c r="B148" s="1">
        <v>45197</v>
      </c>
      <c r="C148" t="s">
        <v>160</v>
      </c>
      <c r="D148" t="s">
        <v>10</v>
      </c>
      <c r="E148">
        <v>23</v>
      </c>
      <c r="F148" t="s">
        <v>16</v>
      </c>
      <c r="G148">
        <v>1</v>
      </c>
      <c r="H148">
        <v>300</v>
      </c>
      <c r="I148">
        <v>300</v>
      </c>
    </row>
    <row r="149" spans="1:9">
      <c r="A149">
        <v>148</v>
      </c>
      <c r="B149" s="1">
        <v>45055</v>
      </c>
      <c r="C149" t="s">
        <v>161</v>
      </c>
      <c r="D149" t="s">
        <v>10</v>
      </c>
      <c r="E149">
        <v>18</v>
      </c>
      <c r="F149" t="s">
        <v>14</v>
      </c>
      <c r="G149">
        <v>2</v>
      </c>
      <c r="H149">
        <v>30</v>
      </c>
      <c r="I149">
        <v>60</v>
      </c>
    </row>
    <row r="150" spans="1:9">
      <c r="A150">
        <v>149</v>
      </c>
      <c r="B150" s="1">
        <v>45210</v>
      </c>
      <c r="C150" t="s">
        <v>162</v>
      </c>
      <c r="D150" t="s">
        <v>10</v>
      </c>
      <c r="E150">
        <v>22</v>
      </c>
      <c r="F150" t="s">
        <v>14</v>
      </c>
      <c r="G150">
        <v>3</v>
      </c>
      <c r="H150">
        <v>25</v>
      </c>
      <c r="I150">
        <v>75</v>
      </c>
    </row>
    <row r="151" spans="1:9">
      <c r="A151">
        <v>150</v>
      </c>
      <c r="B151" s="1">
        <v>44932</v>
      </c>
      <c r="C151" t="s">
        <v>163</v>
      </c>
      <c r="D151" t="s">
        <v>13</v>
      </c>
      <c r="E151">
        <v>58</v>
      </c>
      <c r="F151" t="s">
        <v>16</v>
      </c>
      <c r="G151">
        <v>4</v>
      </c>
      <c r="H151">
        <v>30</v>
      </c>
      <c r="I151">
        <v>120</v>
      </c>
    </row>
    <row r="152" spans="1:9">
      <c r="A152">
        <v>151</v>
      </c>
      <c r="B152" s="1">
        <v>45275</v>
      </c>
      <c r="C152" t="s">
        <v>164</v>
      </c>
      <c r="D152" t="s">
        <v>10</v>
      </c>
      <c r="E152">
        <v>29</v>
      </c>
      <c r="F152" t="s">
        <v>14</v>
      </c>
      <c r="G152">
        <v>1</v>
      </c>
      <c r="H152">
        <v>50</v>
      </c>
      <c r="I152">
        <v>50</v>
      </c>
    </row>
    <row r="153" spans="1:9">
      <c r="A153">
        <v>152</v>
      </c>
      <c r="B153" s="1">
        <v>44985</v>
      </c>
      <c r="C153" t="s">
        <v>165</v>
      </c>
      <c r="D153" t="s">
        <v>10</v>
      </c>
      <c r="E153">
        <v>43</v>
      </c>
      <c r="F153" t="s">
        <v>16</v>
      </c>
      <c r="G153">
        <v>4</v>
      </c>
      <c r="H153">
        <v>500</v>
      </c>
      <c r="I153">
        <v>2000</v>
      </c>
    </row>
    <row r="154" spans="1:9">
      <c r="A154">
        <v>153</v>
      </c>
      <c r="B154" s="1">
        <v>45276</v>
      </c>
      <c r="C154" t="s">
        <v>166</v>
      </c>
      <c r="D154" t="s">
        <v>10</v>
      </c>
      <c r="E154">
        <v>63</v>
      </c>
      <c r="F154" t="s">
        <v>16</v>
      </c>
      <c r="G154">
        <v>2</v>
      </c>
      <c r="H154">
        <v>500</v>
      </c>
      <c r="I154">
        <v>1000</v>
      </c>
    </row>
    <row r="155" spans="1:9">
      <c r="A155">
        <v>154</v>
      </c>
      <c r="B155" s="1">
        <v>45201</v>
      </c>
      <c r="C155" t="s">
        <v>167</v>
      </c>
      <c r="D155" t="s">
        <v>10</v>
      </c>
      <c r="E155">
        <v>51</v>
      </c>
      <c r="F155" t="s">
        <v>16</v>
      </c>
      <c r="G155">
        <v>3</v>
      </c>
      <c r="H155">
        <v>300</v>
      </c>
      <c r="I155">
        <v>900</v>
      </c>
    </row>
    <row r="156" spans="1:9">
      <c r="A156">
        <v>155</v>
      </c>
      <c r="B156" s="1">
        <v>45063</v>
      </c>
      <c r="C156" t="s">
        <v>168</v>
      </c>
      <c r="D156" t="s">
        <v>10</v>
      </c>
      <c r="E156">
        <v>31</v>
      </c>
      <c r="F156" t="s">
        <v>16</v>
      </c>
      <c r="G156">
        <v>4</v>
      </c>
      <c r="H156">
        <v>500</v>
      </c>
      <c r="I156">
        <v>2000</v>
      </c>
    </row>
    <row r="157" spans="1:9">
      <c r="A157">
        <v>156</v>
      </c>
      <c r="B157" s="1">
        <v>45255</v>
      </c>
      <c r="C157" t="s">
        <v>169</v>
      </c>
      <c r="D157" t="s">
        <v>13</v>
      </c>
      <c r="E157">
        <v>43</v>
      </c>
      <c r="F157" t="s">
        <v>14</v>
      </c>
      <c r="G157">
        <v>4</v>
      </c>
      <c r="H157">
        <v>25</v>
      </c>
      <c r="I157">
        <v>100</v>
      </c>
    </row>
    <row r="158" spans="1:9">
      <c r="A158">
        <v>157</v>
      </c>
      <c r="B158" s="1">
        <v>45101</v>
      </c>
      <c r="C158" t="s">
        <v>170</v>
      </c>
      <c r="D158" t="s">
        <v>10</v>
      </c>
      <c r="E158">
        <v>62</v>
      </c>
      <c r="F158" t="s">
        <v>16</v>
      </c>
      <c r="G158">
        <v>4</v>
      </c>
      <c r="H158">
        <v>500</v>
      </c>
      <c r="I158">
        <v>2000</v>
      </c>
    </row>
    <row r="159" spans="1:9">
      <c r="A159">
        <v>158</v>
      </c>
      <c r="B159" s="1">
        <v>44984</v>
      </c>
      <c r="C159" t="s">
        <v>171</v>
      </c>
      <c r="D159" t="s">
        <v>13</v>
      </c>
      <c r="E159">
        <v>44</v>
      </c>
      <c r="F159" t="s">
        <v>16</v>
      </c>
      <c r="G159">
        <v>2</v>
      </c>
      <c r="H159">
        <v>300</v>
      </c>
      <c r="I159">
        <v>600</v>
      </c>
    </row>
    <row r="160" spans="1:9">
      <c r="A160">
        <v>159</v>
      </c>
      <c r="B160" s="1">
        <v>45077</v>
      </c>
      <c r="C160" t="s">
        <v>172</v>
      </c>
      <c r="D160" t="s">
        <v>10</v>
      </c>
      <c r="E160">
        <v>26</v>
      </c>
      <c r="F160" t="s">
        <v>14</v>
      </c>
      <c r="G160">
        <v>4</v>
      </c>
      <c r="H160">
        <v>50</v>
      </c>
      <c r="I160">
        <v>200</v>
      </c>
    </row>
    <row r="161" spans="1:9">
      <c r="A161">
        <v>160</v>
      </c>
      <c r="B161" s="1">
        <v>45149</v>
      </c>
      <c r="C161" t="s">
        <v>173</v>
      </c>
      <c r="D161" t="s">
        <v>13</v>
      </c>
      <c r="E161">
        <v>43</v>
      </c>
      <c r="F161" t="s">
        <v>14</v>
      </c>
      <c r="G161">
        <v>2</v>
      </c>
      <c r="H161">
        <v>50</v>
      </c>
      <c r="I161">
        <v>100</v>
      </c>
    </row>
    <row r="162" spans="1:9">
      <c r="A162">
        <v>161</v>
      </c>
      <c r="B162" s="1">
        <v>45007</v>
      </c>
      <c r="C162" t="s">
        <v>174</v>
      </c>
      <c r="D162" t="s">
        <v>10</v>
      </c>
      <c r="E162">
        <v>64</v>
      </c>
      <c r="F162" t="s">
        <v>11</v>
      </c>
      <c r="G162">
        <v>2</v>
      </c>
      <c r="H162">
        <v>500</v>
      </c>
      <c r="I162">
        <v>1000</v>
      </c>
    </row>
    <row r="163" spans="1:9">
      <c r="A163">
        <v>162</v>
      </c>
      <c r="B163" s="1">
        <v>45159</v>
      </c>
      <c r="C163" t="s">
        <v>175</v>
      </c>
      <c r="D163" t="s">
        <v>10</v>
      </c>
      <c r="E163">
        <v>39</v>
      </c>
      <c r="F163" t="s">
        <v>14</v>
      </c>
      <c r="G163">
        <v>2</v>
      </c>
      <c r="H163">
        <v>30</v>
      </c>
      <c r="I163">
        <v>60</v>
      </c>
    </row>
    <row r="164" spans="1:9">
      <c r="A164">
        <v>163</v>
      </c>
      <c r="B164" s="1">
        <v>44928</v>
      </c>
      <c r="C164" t="s">
        <v>176</v>
      </c>
      <c r="D164" t="s">
        <v>13</v>
      </c>
      <c r="E164">
        <v>64</v>
      </c>
      <c r="F164" t="s">
        <v>14</v>
      </c>
      <c r="G164">
        <v>3</v>
      </c>
      <c r="H164">
        <v>50</v>
      </c>
      <c r="I164">
        <v>150</v>
      </c>
    </row>
    <row r="165" spans="1:9">
      <c r="A165">
        <v>164</v>
      </c>
      <c r="B165" s="1">
        <v>45061</v>
      </c>
      <c r="C165" t="s">
        <v>177</v>
      </c>
      <c r="D165" t="s">
        <v>13</v>
      </c>
      <c r="E165">
        <v>47</v>
      </c>
      <c r="F165" t="s">
        <v>11</v>
      </c>
      <c r="G165">
        <v>3</v>
      </c>
      <c r="H165">
        <v>500</v>
      </c>
      <c r="I165">
        <v>1500</v>
      </c>
    </row>
    <row r="166" spans="1:9">
      <c r="A166">
        <v>165</v>
      </c>
      <c r="B166" s="1">
        <v>45183</v>
      </c>
      <c r="C166" t="s">
        <v>178</v>
      </c>
      <c r="D166" t="s">
        <v>13</v>
      </c>
      <c r="E166">
        <v>60</v>
      </c>
      <c r="F166" t="s">
        <v>14</v>
      </c>
      <c r="G166">
        <v>4</v>
      </c>
      <c r="H166">
        <v>300</v>
      </c>
      <c r="I166">
        <v>1200</v>
      </c>
    </row>
    <row r="167" spans="1:9">
      <c r="A167">
        <v>166</v>
      </c>
      <c r="B167" s="1">
        <v>45018</v>
      </c>
      <c r="C167" t="s">
        <v>179</v>
      </c>
      <c r="D167" t="s">
        <v>10</v>
      </c>
      <c r="E167">
        <v>34</v>
      </c>
      <c r="F167" t="s">
        <v>14</v>
      </c>
      <c r="G167">
        <v>4</v>
      </c>
      <c r="H167">
        <v>500</v>
      </c>
      <c r="I167">
        <v>2000</v>
      </c>
    </row>
    <row r="168" spans="1:9">
      <c r="A168">
        <v>167</v>
      </c>
      <c r="B168" s="1">
        <v>45186</v>
      </c>
      <c r="C168" t="s">
        <v>180</v>
      </c>
      <c r="D168" t="s">
        <v>13</v>
      </c>
      <c r="E168">
        <v>43</v>
      </c>
      <c r="F168" t="s">
        <v>14</v>
      </c>
      <c r="G168">
        <v>3</v>
      </c>
      <c r="H168">
        <v>50</v>
      </c>
      <c r="I168">
        <v>150</v>
      </c>
    </row>
    <row r="169" spans="1:9">
      <c r="A169">
        <v>168</v>
      </c>
      <c r="B169" s="1">
        <v>44981</v>
      </c>
      <c r="C169" t="s">
        <v>181</v>
      </c>
      <c r="D169" t="s">
        <v>10</v>
      </c>
      <c r="E169">
        <v>53</v>
      </c>
      <c r="F169" t="s">
        <v>14</v>
      </c>
      <c r="G169">
        <v>1</v>
      </c>
      <c r="H169">
        <v>300</v>
      </c>
      <c r="I169">
        <v>300</v>
      </c>
    </row>
    <row r="170" spans="1:9">
      <c r="A170">
        <v>169</v>
      </c>
      <c r="B170" s="1">
        <v>45247</v>
      </c>
      <c r="C170" t="s">
        <v>182</v>
      </c>
      <c r="D170" t="s">
        <v>10</v>
      </c>
      <c r="E170">
        <v>18</v>
      </c>
      <c r="F170" t="s">
        <v>11</v>
      </c>
      <c r="G170">
        <v>3</v>
      </c>
      <c r="H170">
        <v>500</v>
      </c>
      <c r="I170">
        <v>1500</v>
      </c>
    </row>
    <row r="171" spans="1:9">
      <c r="A171">
        <v>170</v>
      </c>
      <c r="B171" s="1">
        <v>45079</v>
      </c>
      <c r="C171" t="s">
        <v>183</v>
      </c>
      <c r="D171" t="s">
        <v>13</v>
      </c>
      <c r="E171">
        <v>25</v>
      </c>
      <c r="F171" t="s">
        <v>14</v>
      </c>
      <c r="G171">
        <v>2</v>
      </c>
      <c r="H171">
        <v>25</v>
      </c>
      <c r="I171">
        <v>50</v>
      </c>
    </row>
    <row r="172" spans="1:9">
      <c r="A172">
        <v>171</v>
      </c>
      <c r="B172" s="1">
        <v>45254</v>
      </c>
      <c r="C172" t="s">
        <v>184</v>
      </c>
      <c r="D172" t="s">
        <v>13</v>
      </c>
      <c r="E172">
        <v>52</v>
      </c>
      <c r="F172" t="s">
        <v>14</v>
      </c>
      <c r="G172">
        <v>3</v>
      </c>
      <c r="H172">
        <v>300</v>
      </c>
      <c r="I172">
        <v>900</v>
      </c>
    </row>
    <row r="173" spans="1:9">
      <c r="A173">
        <v>172</v>
      </c>
      <c r="B173" s="1">
        <v>45186</v>
      </c>
      <c r="C173" t="s">
        <v>185</v>
      </c>
      <c r="D173" t="s">
        <v>10</v>
      </c>
      <c r="E173">
        <v>32</v>
      </c>
      <c r="F173" t="s">
        <v>11</v>
      </c>
      <c r="G173">
        <v>2</v>
      </c>
      <c r="H173">
        <v>25</v>
      </c>
      <c r="I173">
        <v>50</v>
      </c>
    </row>
    <row r="174" spans="1:9">
      <c r="A174">
        <v>173</v>
      </c>
      <c r="B174" s="1">
        <v>45238</v>
      </c>
      <c r="C174" t="s">
        <v>186</v>
      </c>
      <c r="D174" t="s">
        <v>10</v>
      </c>
      <c r="E174">
        <v>64</v>
      </c>
      <c r="F174" t="s">
        <v>16</v>
      </c>
      <c r="G174">
        <v>4</v>
      </c>
      <c r="H174">
        <v>30</v>
      </c>
      <c r="I174">
        <v>120</v>
      </c>
    </row>
    <row r="175" spans="1:9">
      <c r="A175">
        <v>174</v>
      </c>
      <c r="B175" s="1">
        <v>45028</v>
      </c>
      <c r="C175" t="s">
        <v>187</v>
      </c>
      <c r="D175" t="s">
        <v>13</v>
      </c>
      <c r="E175">
        <v>39</v>
      </c>
      <c r="F175" t="s">
        <v>11</v>
      </c>
      <c r="G175">
        <v>1</v>
      </c>
      <c r="H175">
        <v>300</v>
      </c>
      <c r="I175">
        <v>300</v>
      </c>
    </row>
    <row r="176" spans="1:9">
      <c r="A176">
        <v>175</v>
      </c>
      <c r="B176" s="1">
        <v>45005</v>
      </c>
      <c r="C176" t="s">
        <v>188</v>
      </c>
      <c r="D176" t="s">
        <v>13</v>
      </c>
      <c r="E176">
        <v>31</v>
      </c>
      <c r="F176" t="s">
        <v>16</v>
      </c>
      <c r="G176">
        <v>4</v>
      </c>
      <c r="H176">
        <v>25</v>
      </c>
      <c r="I176">
        <v>100</v>
      </c>
    </row>
    <row r="177" spans="1:9">
      <c r="A177">
        <v>176</v>
      </c>
      <c r="B177" s="1">
        <v>45118</v>
      </c>
      <c r="C177" t="s">
        <v>189</v>
      </c>
      <c r="D177" t="s">
        <v>13</v>
      </c>
      <c r="E177">
        <v>43</v>
      </c>
      <c r="F177" t="s">
        <v>11</v>
      </c>
      <c r="G177">
        <v>2</v>
      </c>
      <c r="H177">
        <v>50</v>
      </c>
      <c r="I177">
        <v>100</v>
      </c>
    </row>
    <row r="178" spans="1:9">
      <c r="A178">
        <v>177</v>
      </c>
      <c r="B178" s="1">
        <v>45009</v>
      </c>
      <c r="C178" t="s">
        <v>190</v>
      </c>
      <c r="D178" t="s">
        <v>10</v>
      </c>
      <c r="E178">
        <v>45</v>
      </c>
      <c r="F178" t="s">
        <v>11</v>
      </c>
      <c r="G178">
        <v>2</v>
      </c>
      <c r="H178">
        <v>50</v>
      </c>
      <c r="I178">
        <v>100</v>
      </c>
    </row>
    <row r="179" spans="1:9">
      <c r="A179">
        <v>178</v>
      </c>
      <c r="B179" s="1">
        <v>45203</v>
      </c>
      <c r="C179" t="s">
        <v>191</v>
      </c>
      <c r="D179" t="s">
        <v>10</v>
      </c>
      <c r="E179">
        <v>40</v>
      </c>
      <c r="F179" t="s">
        <v>14</v>
      </c>
      <c r="G179">
        <v>2</v>
      </c>
      <c r="H179">
        <v>30</v>
      </c>
      <c r="I179">
        <v>60</v>
      </c>
    </row>
    <row r="180" spans="1:9">
      <c r="A180">
        <v>179</v>
      </c>
      <c r="B180" s="1">
        <v>45198</v>
      </c>
      <c r="C180" t="s">
        <v>192</v>
      </c>
      <c r="D180" t="s">
        <v>10</v>
      </c>
      <c r="E180">
        <v>31</v>
      </c>
      <c r="F180" t="s">
        <v>16</v>
      </c>
      <c r="G180">
        <v>1</v>
      </c>
      <c r="H180">
        <v>300</v>
      </c>
      <c r="I180">
        <v>300</v>
      </c>
    </row>
    <row r="181" spans="1:9">
      <c r="A181">
        <v>180</v>
      </c>
      <c r="B181" s="1">
        <v>44927</v>
      </c>
      <c r="C181" t="s">
        <v>193</v>
      </c>
      <c r="D181" t="s">
        <v>10</v>
      </c>
      <c r="E181">
        <v>41</v>
      </c>
      <c r="F181" t="s">
        <v>14</v>
      </c>
      <c r="G181">
        <v>3</v>
      </c>
      <c r="H181">
        <v>300</v>
      </c>
      <c r="I181">
        <v>900</v>
      </c>
    </row>
    <row r="182" spans="1:9">
      <c r="A182">
        <v>181</v>
      </c>
      <c r="B182" s="1">
        <v>45233</v>
      </c>
      <c r="C182" t="s">
        <v>194</v>
      </c>
      <c r="D182" t="s">
        <v>10</v>
      </c>
      <c r="E182">
        <v>19</v>
      </c>
      <c r="F182" t="s">
        <v>16</v>
      </c>
      <c r="G182">
        <v>4</v>
      </c>
      <c r="H182">
        <v>300</v>
      </c>
      <c r="I182">
        <v>1200</v>
      </c>
    </row>
    <row r="183" spans="1:9">
      <c r="A183">
        <v>182</v>
      </c>
      <c r="B183" s="1">
        <v>45092</v>
      </c>
      <c r="C183" t="s">
        <v>195</v>
      </c>
      <c r="D183" t="s">
        <v>10</v>
      </c>
      <c r="E183">
        <v>62</v>
      </c>
      <c r="F183" t="s">
        <v>11</v>
      </c>
      <c r="G183">
        <v>4</v>
      </c>
      <c r="H183">
        <v>30</v>
      </c>
      <c r="I183">
        <v>120</v>
      </c>
    </row>
    <row r="184" spans="1:9">
      <c r="A184">
        <v>183</v>
      </c>
      <c r="B184" s="1">
        <v>45177</v>
      </c>
      <c r="C184" t="s">
        <v>196</v>
      </c>
      <c r="D184" t="s">
        <v>13</v>
      </c>
      <c r="E184">
        <v>43</v>
      </c>
      <c r="F184" t="s">
        <v>11</v>
      </c>
      <c r="G184">
        <v>3</v>
      </c>
      <c r="H184">
        <v>300</v>
      </c>
      <c r="I184">
        <v>900</v>
      </c>
    </row>
    <row r="185" spans="1:9">
      <c r="A185">
        <v>184</v>
      </c>
      <c r="B185" s="1">
        <v>44936</v>
      </c>
      <c r="C185" t="s">
        <v>197</v>
      </c>
      <c r="D185" t="s">
        <v>10</v>
      </c>
      <c r="E185">
        <v>31</v>
      </c>
      <c r="F185" t="s">
        <v>16</v>
      </c>
      <c r="G185">
        <v>4</v>
      </c>
      <c r="H185">
        <v>50</v>
      </c>
      <c r="I185">
        <v>200</v>
      </c>
    </row>
    <row r="186" spans="1:9">
      <c r="A186">
        <v>185</v>
      </c>
      <c r="B186" s="1">
        <v>44984</v>
      </c>
      <c r="C186" t="s">
        <v>198</v>
      </c>
      <c r="D186" t="s">
        <v>10</v>
      </c>
      <c r="E186">
        <v>24</v>
      </c>
      <c r="F186" t="s">
        <v>14</v>
      </c>
      <c r="G186">
        <v>1</v>
      </c>
      <c r="H186">
        <v>25</v>
      </c>
      <c r="I186">
        <v>25</v>
      </c>
    </row>
    <row r="187" spans="1:9">
      <c r="A187">
        <v>186</v>
      </c>
      <c r="B187" s="1">
        <v>45112</v>
      </c>
      <c r="C187" t="s">
        <v>199</v>
      </c>
      <c r="D187" t="s">
        <v>10</v>
      </c>
      <c r="E187">
        <v>20</v>
      </c>
      <c r="F187" t="s">
        <v>14</v>
      </c>
      <c r="G187">
        <v>4</v>
      </c>
      <c r="H187">
        <v>50</v>
      </c>
      <c r="I187">
        <v>200</v>
      </c>
    </row>
    <row r="188" spans="1:9">
      <c r="A188">
        <v>187</v>
      </c>
      <c r="B188" s="1">
        <v>45084</v>
      </c>
      <c r="C188" t="s">
        <v>200</v>
      </c>
      <c r="D188" t="s">
        <v>13</v>
      </c>
      <c r="E188">
        <v>64</v>
      </c>
      <c r="F188" t="s">
        <v>14</v>
      </c>
      <c r="G188">
        <v>2</v>
      </c>
      <c r="H188">
        <v>50</v>
      </c>
      <c r="I188">
        <v>100</v>
      </c>
    </row>
    <row r="189" spans="1:9">
      <c r="A189">
        <v>188</v>
      </c>
      <c r="B189" s="1">
        <v>45049</v>
      </c>
      <c r="C189" t="s">
        <v>201</v>
      </c>
      <c r="D189" t="s">
        <v>10</v>
      </c>
      <c r="E189">
        <v>40</v>
      </c>
      <c r="F189" t="s">
        <v>14</v>
      </c>
      <c r="G189">
        <v>3</v>
      </c>
      <c r="H189">
        <v>25</v>
      </c>
      <c r="I189">
        <v>75</v>
      </c>
    </row>
    <row r="190" spans="1:9">
      <c r="A190">
        <v>189</v>
      </c>
      <c r="B190" s="1">
        <v>44956</v>
      </c>
      <c r="C190" t="s">
        <v>202</v>
      </c>
      <c r="D190" t="s">
        <v>10</v>
      </c>
      <c r="E190">
        <v>63</v>
      </c>
      <c r="F190" t="s">
        <v>11</v>
      </c>
      <c r="G190">
        <v>1</v>
      </c>
      <c r="H190">
        <v>50</v>
      </c>
      <c r="I190">
        <v>50</v>
      </c>
    </row>
    <row r="191" spans="1:9">
      <c r="A191">
        <v>190</v>
      </c>
      <c r="B191" s="1">
        <v>45050</v>
      </c>
      <c r="C191" t="s">
        <v>203</v>
      </c>
      <c r="D191" t="s">
        <v>13</v>
      </c>
      <c r="E191">
        <v>60</v>
      </c>
      <c r="F191" t="s">
        <v>11</v>
      </c>
      <c r="G191">
        <v>3</v>
      </c>
      <c r="H191">
        <v>30</v>
      </c>
      <c r="I191">
        <v>90</v>
      </c>
    </row>
    <row r="192" spans="1:9">
      <c r="A192">
        <v>191</v>
      </c>
      <c r="B192" s="1">
        <v>45217</v>
      </c>
      <c r="C192" t="s">
        <v>204</v>
      </c>
      <c r="D192" t="s">
        <v>10</v>
      </c>
      <c r="E192">
        <v>64</v>
      </c>
      <c r="F192" t="s">
        <v>11</v>
      </c>
      <c r="G192">
        <v>1</v>
      </c>
      <c r="H192">
        <v>25</v>
      </c>
      <c r="I192">
        <v>25</v>
      </c>
    </row>
    <row r="193" spans="1:9">
      <c r="A193">
        <v>192</v>
      </c>
      <c r="B193" s="1">
        <v>44967</v>
      </c>
      <c r="C193" t="s">
        <v>205</v>
      </c>
      <c r="D193" t="s">
        <v>10</v>
      </c>
      <c r="E193">
        <v>62</v>
      </c>
      <c r="F193" t="s">
        <v>11</v>
      </c>
      <c r="G193">
        <v>2</v>
      </c>
      <c r="H193">
        <v>50</v>
      </c>
      <c r="I193">
        <v>100</v>
      </c>
    </row>
    <row r="194" spans="1:9">
      <c r="A194">
        <v>193</v>
      </c>
      <c r="B194" s="1">
        <v>44970</v>
      </c>
      <c r="C194" t="s">
        <v>206</v>
      </c>
      <c r="D194" t="s">
        <v>10</v>
      </c>
      <c r="E194">
        <v>35</v>
      </c>
      <c r="F194" t="s">
        <v>11</v>
      </c>
      <c r="G194">
        <v>3</v>
      </c>
      <c r="H194">
        <v>500</v>
      </c>
      <c r="I194">
        <v>1500</v>
      </c>
    </row>
    <row r="195" spans="1:9">
      <c r="A195">
        <v>194</v>
      </c>
      <c r="B195" s="1">
        <v>45175</v>
      </c>
      <c r="C195" t="s">
        <v>207</v>
      </c>
      <c r="D195" t="s">
        <v>10</v>
      </c>
      <c r="E195">
        <v>55</v>
      </c>
      <c r="F195" t="s">
        <v>14</v>
      </c>
      <c r="G195">
        <v>4</v>
      </c>
      <c r="H195">
        <v>50</v>
      </c>
      <c r="I195">
        <v>200</v>
      </c>
    </row>
    <row r="196" spans="1:9">
      <c r="A196">
        <v>195</v>
      </c>
      <c r="B196" s="1">
        <v>44962</v>
      </c>
      <c r="C196" t="s">
        <v>208</v>
      </c>
      <c r="D196" t="s">
        <v>10</v>
      </c>
      <c r="E196">
        <v>52</v>
      </c>
      <c r="F196" t="s">
        <v>14</v>
      </c>
      <c r="G196">
        <v>1</v>
      </c>
      <c r="H196">
        <v>30</v>
      </c>
      <c r="I196">
        <v>30</v>
      </c>
    </row>
    <row r="197" spans="1:9">
      <c r="A197">
        <v>196</v>
      </c>
      <c r="B197" s="1">
        <v>45199</v>
      </c>
      <c r="C197" t="s">
        <v>209</v>
      </c>
      <c r="D197" t="s">
        <v>13</v>
      </c>
      <c r="E197">
        <v>32</v>
      </c>
      <c r="F197" t="s">
        <v>14</v>
      </c>
      <c r="G197">
        <v>3</v>
      </c>
      <c r="H197">
        <v>300</v>
      </c>
      <c r="I197">
        <v>900</v>
      </c>
    </row>
    <row r="198" spans="1:9">
      <c r="A198">
        <v>197</v>
      </c>
      <c r="B198" s="1">
        <v>44991</v>
      </c>
      <c r="C198" t="s">
        <v>210</v>
      </c>
      <c r="D198" t="s">
        <v>13</v>
      </c>
      <c r="E198">
        <v>42</v>
      </c>
      <c r="F198" t="s">
        <v>14</v>
      </c>
      <c r="G198">
        <v>4</v>
      </c>
      <c r="H198">
        <v>50</v>
      </c>
      <c r="I198">
        <v>200</v>
      </c>
    </row>
    <row r="199" spans="1:9">
      <c r="A199">
        <v>198</v>
      </c>
      <c r="B199" s="1">
        <v>44992</v>
      </c>
      <c r="C199" t="s">
        <v>211</v>
      </c>
      <c r="D199" t="s">
        <v>13</v>
      </c>
      <c r="E199">
        <v>54</v>
      </c>
      <c r="F199" t="s">
        <v>11</v>
      </c>
      <c r="G199">
        <v>3</v>
      </c>
      <c r="H199">
        <v>300</v>
      </c>
      <c r="I199">
        <v>900</v>
      </c>
    </row>
    <row r="200" spans="1:9">
      <c r="A200">
        <v>199</v>
      </c>
      <c r="B200" s="1">
        <v>45264</v>
      </c>
      <c r="C200" t="s">
        <v>212</v>
      </c>
      <c r="D200" t="s">
        <v>10</v>
      </c>
      <c r="E200">
        <v>45</v>
      </c>
      <c r="F200" t="s">
        <v>11</v>
      </c>
      <c r="G200">
        <v>3</v>
      </c>
      <c r="H200">
        <v>500</v>
      </c>
      <c r="I200">
        <v>1500</v>
      </c>
    </row>
    <row r="201" spans="1:9">
      <c r="A201">
        <v>200</v>
      </c>
      <c r="B201" s="1">
        <v>45170</v>
      </c>
      <c r="C201" t="s">
        <v>213</v>
      </c>
      <c r="D201" t="s">
        <v>10</v>
      </c>
      <c r="E201">
        <v>27</v>
      </c>
      <c r="F201" t="s">
        <v>11</v>
      </c>
      <c r="G201">
        <v>3</v>
      </c>
      <c r="H201">
        <v>50</v>
      </c>
      <c r="I201">
        <v>150</v>
      </c>
    </row>
    <row r="202" spans="1:9">
      <c r="A202">
        <v>201</v>
      </c>
      <c r="B202" s="1">
        <v>45208</v>
      </c>
      <c r="C202" t="s">
        <v>214</v>
      </c>
      <c r="D202" t="s">
        <v>10</v>
      </c>
      <c r="E202">
        <v>56</v>
      </c>
      <c r="F202" t="s">
        <v>16</v>
      </c>
      <c r="G202">
        <v>1</v>
      </c>
      <c r="H202">
        <v>25</v>
      </c>
      <c r="I202">
        <v>25</v>
      </c>
    </row>
    <row r="203" spans="1:9">
      <c r="A203">
        <v>202</v>
      </c>
      <c r="B203" s="1">
        <v>45011</v>
      </c>
      <c r="C203" t="s">
        <v>215</v>
      </c>
      <c r="D203" t="s">
        <v>13</v>
      </c>
      <c r="E203">
        <v>34</v>
      </c>
      <c r="F203" t="s">
        <v>14</v>
      </c>
      <c r="G203">
        <v>4</v>
      </c>
      <c r="H203">
        <v>300</v>
      </c>
      <c r="I203">
        <v>1200</v>
      </c>
    </row>
    <row r="204" spans="1:9">
      <c r="A204">
        <v>203</v>
      </c>
      <c r="B204" s="1">
        <v>45062</v>
      </c>
      <c r="C204" t="s">
        <v>216</v>
      </c>
      <c r="D204" t="s">
        <v>10</v>
      </c>
      <c r="E204">
        <v>56</v>
      </c>
      <c r="F204" t="s">
        <v>14</v>
      </c>
      <c r="G204">
        <v>2</v>
      </c>
      <c r="H204">
        <v>500</v>
      </c>
      <c r="I204">
        <v>1000</v>
      </c>
    </row>
    <row r="205" spans="1:9">
      <c r="A205">
        <v>204</v>
      </c>
      <c r="B205" s="1">
        <v>45197</v>
      </c>
      <c r="C205" t="s">
        <v>217</v>
      </c>
      <c r="D205" t="s">
        <v>10</v>
      </c>
      <c r="E205">
        <v>39</v>
      </c>
      <c r="F205" t="s">
        <v>11</v>
      </c>
      <c r="G205">
        <v>1</v>
      </c>
      <c r="H205">
        <v>25</v>
      </c>
      <c r="I205">
        <v>25</v>
      </c>
    </row>
    <row r="206" spans="1:9">
      <c r="A206">
        <v>205</v>
      </c>
      <c r="B206" s="1">
        <v>45237</v>
      </c>
      <c r="C206" t="s">
        <v>218</v>
      </c>
      <c r="D206" t="s">
        <v>13</v>
      </c>
      <c r="E206">
        <v>43</v>
      </c>
      <c r="F206" t="s">
        <v>14</v>
      </c>
      <c r="G206">
        <v>1</v>
      </c>
      <c r="H206">
        <v>25</v>
      </c>
      <c r="I206">
        <v>25</v>
      </c>
    </row>
    <row r="207" spans="1:9">
      <c r="A207">
        <v>206</v>
      </c>
      <c r="B207" s="1">
        <v>45143</v>
      </c>
      <c r="C207" t="s">
        <v>219</v>
      </c>
      <c r="D207" t="s">
        <v>10</v>
      </c>
      <c r="E207">
        <v>61</v>
      </c>
      <c r="F207" t="s">
        <v>14</v>
      </c>
      <c r="G207">
        <v>1</v>
      </c>
      <c r="H207">
        <v>25</v>
      </c>
      <c r="I207">
        <v>25</v>
      </c>
    </row>
    <row r="208" spans="1:9">
      <c r="A208">
        <v>207</v>
      </c>
      <c r="B208" s="1">
        <v>45035</v>
      </c>
      <c r="C208" t="s">
        <v>220</v>
      </c>
      <c r="D208" t="s">
        <v>13</v>
      </c>
      <c r="E208">
        <v>42</v>
      </c>
      <c r="F208" t="s">
        <v>11</v>
      </c>
      <c r="G208">
        <v>2</v>
      </c>
      <c r="H208">
        <v>25</v>
      </c>
      <c r="I208">
        <v>50</v>
      </c>
    </row>
    <row r="209" spans="1:9">
      <c r="A209">
        <v>208</v>
      </c>
      <c r="B209" s="1">
        <v>45203</v>
      </c>
      <c r="C209" t="s">
        <v>221</v>
      </c>
      <c r="D209" t="s">
        <v>13</v>
      </c>
      <c r="E209">
        <v>34</v>
      </c>
      <c r="F209" t="s">
        <v>16</v>
      </c>
      <c r="G209">
        <v>4</v>
      </c>
      <c r="H209">
        <v>50</v>
      </c>
      <c r="I209">
        <v>200</v>
      </c>
    </row>
    <row r="210" spans="1:9">
      <c r="A210">
        <v>209</v>
      </c>
      <c r="B210" s="1">
        <v>45280</v>
      </c>
      <c r="C210" t="s">
        <v>222</v>
      </c>
      <c r="D210" t="s">
        <v>13</v>
      </c>
      <c r="E210">
        <v>30</v>
      </c>
      <c r="F210" t="s">
        <v>16</v>
      </c>
      <c r="G210">
        <v>4</v>
      </c>
      <c r="H210">
        <v>50</v>
      </c>
      <c r="I210">
        <v>200</v>
      </c>
    </row>
    <row r="211" spans="1:9">
      <c r="A211">
        <v>210</v>
      </c>
      <c r="B211" s="1">
        <v>45029</v>
      </c>
      <c r="C211" t="s">
        <v>223</v>
      </c>
      <c r="D211" t="s">
        <v>10</v>
      </c>
      <c r="E211">
        <v>37</v>
      </c>
      <c r="F211" t="s">
        <v>16</v>
      </c>
      <c r="G211">
        <v>4</v>
      </c>
      <c r="H211">
        <v>50</v>
      </c>
      <c r="I211">
        <v>200</v>
      </c>
    </row>
    <row r="212" spans="1:9">
      <c r="A212">
        <v>211</v>
      </c>
      <c r="B212" s="1">
        <v>45292</v>
      </c>
      <c r="C212" t="s">
        <v>224</v>
      </c>
      <c r="D212" t="s">
        <v>10</v>
      </c>
      <c r="E212">
        <v>42</v>
      </c>
      <c r="F212" t="s">
        <v>11</v>
      </c>
      <c r="G212">
        <v>3</v>
      </c>
      <c r="H212">
        <v>500</v>
      </c>
      <c r="I212">
        <v>1500</v>
      </c>
    </row>
    <row r="213" spans="1:9">
      <c r="A213">
        <v>212</v>
      </c>
      <c r="B213" s="1">
        <v>45086</v>
      </c>
      <c r="C213" t="s">
        <v>225</v>
      </c>
      <c r="D213" t="s">
        <v>10</v>
      </c>
      <c r="E213">
        <v>21</v>
      </c>
      <c r="F213" t="s">
        <v>14</v>
      </c>
      <c r="G213">
        <v>3</v>
      </c>
      <c r="H213">
        <v>500</v>
      </c>
      <c r="I213">
        <v>1500</v>
      </c>
    </row>
    <row r="214" spans="1:9">
      <c r="A214">
        <v>213</v>
      </c>
      <c r="B214" s="1">
        <v>45131</v>
      </c>
      <c r="C214" t="s">
        <v>226</v>
      </c>
      <c r="D214" t="s">
        <v>10</v>
      </c>
      <c r="E214">
        <v>27</v>
      </c>
      <c r="F214" t="s">
        <v>11</v>
      </c>
      <c r="G214">
        <v>3</v>
      </c>
      <c r="H214">
        <v>500</v>
      </c>
      <c r="I214">
        <v>1500</v>
      </c>
    </row>
    <row r="215" spans="1:9">
      <c r="A215">
        <v>214</v>
      </c>
      <c r="B215" s="1">
        <v>45270</v>
      </c>
      <c r="C215" t="s">
        <v>227</v>
      </c>
      <c r="D215" t="s">
        <v>10</v>
      </c>
      <c r="E215">
        <v>20</v>
      </c>
      <c r="F215" t="s">
        <v>11</v>
      </c>
      <c r="G215">
        <v>2</v>
      </c>
      <c r="H215">
        <v>30</v>
      </c>
      <c r="I215">
        <v>60</v>
      </c>
    </row>
    <row r="216" spans="1:9">
      <c r="A216">
        <v>215</v>
      </c>
      <c r="B216" s="1">
        <v>45259</v>
      </c>
      <c r="C216" t="s">
        <v>228</v>
      </c>
      <c r="D216" t="s">
        <v>10</v>
      </c>
      <c r="E216">
        <v>58</v>
      </c>
      <c r="F216" t="s">
        <v>14</v>
      </c>
      <c r="G216">
        <v>3</v>
      </c>
      <c r="H216">
        <v>500</v>
      </c>
      <c r="I216">
        <v>1500</v>
      </c>
    </row>
    <row r="217" spans="1:9">
      <c r="A217">
        <v>216</v>
      </c>
      <c r="B217" s="1">
        <v>45118</v>
      </c>
      <c r="C217" t="s">
        <v>229</v>
      </c>
      <c r="D217" t="s">
        <v>10</v>
      </c>
      <c r="E217">
        <v>62</v>
      </c>
      <c r="F217" t="s">
        <v>16</v>
      </c>
      <c r="G217">
        <v>2</v>
      </c>
      <c r="H217">
        <v>50</v>
      </c>
      <c r="I217">
        <v>100</v>
      </c>
    </row>
    <row r="218" spans="1:9">
      <c r="A218">
        <v>217</v>
      </c>
      <c r="B218" s="1">
        <v>45151</v>
      </c>
      <c r="C218" t="s">
        <v>230</v>
      </c>
      <c r="D218" t="s">
        <v>13</v>
      </c>
      <c r="E218">
        <v>35</v>
      </c>
      <c r="F218" t="s">
        <v>16</v>
      </c>
      <c r="G218">
        <v>4</v>
      </c>
      <c r="H218">
        <v>50</v>
      </c>
      <c r="I218">
        <v>200</v>
      </c>
    </row>
    <row r="219" spans="1:9">
      <c r="A219">
        <v>218</v>
      </c>
      <c r="B219" s="1">
        <v>45191</v>
      </c>
      <c r="C219" t="s">
        <v>231</v>
      </c>
      <c r="D219" t="s">
        <v>10</v>
      </c>
      <c r="E219">
        <v>64</v>
      </c>
      <c r="F219" t="s">
        <v>11</v>
      </c>
      <c r="G219">
        <v>3</v>
      </c>
      <c r="H219">
        <v>30</v>
      </c>
      <c r="I219">
        <v>90</v>
      </c>
    </row>
    <row r="220" spans="1:9">
      <c r="A220">
        <v>219</v>
      </c>
      <c r="B220" s="1">
        <v>45158</v>
      </c>
      <c r="C220" t="s">
        <v>232</v>
      </c>
      <c r="D220" t="s">
        <v>13</v>
      </c>
      <c r="E220">
        <v>53</v>
      </c>
      <c r="F220" t="s">
        <v>16</v>
      </c>
      <c r="G220">
        <v>3</v>
      </c>
      <c r="H220">
        <v>30</v>
      </c>
      <c r="I220">
        <v>90</v>
      </c>
    </row>
    <row r="221" spans="1:9">
      <c r="A221">
        <v>220</v>
      </c>
      <c r="B221" s="1">
        <v>44988</v>
      </c>
      <c r="C221" t="s">
        <v>233</v>
      </c>
      <c r="D221" t="s">
        <v>10</v>
      </c>
      <c r="E221">
        <v>64</v>
      </c>
      <c r="F221" t="s">
        <v>11</v>
      </c>
      <c r="G221">
        <v>1</v>
      </c>
      <c r="H221">
        <v>500</v>
      </c>
      <c r="I221">
        <v>500</v>
      </c>
    </row>
    <row r="222" spans="1:9">
      <c r="A222">
        <v>221</v>
      </c>
      <c r="B222" s="1">
        <v>45053</v>
      </c>
      <c r="C222" t="s">
        <v>234</v>
      </c>
      <c r="D222" t="s">
        <v>10</v>
      </c>
      <c r="E222">
        <v>39</v>
      </c>
      <c r="F222" t="s">
        <v>11</v>
      </c>
      <c r="G222">
        <v>2</v>
      </c>
      <c r="H222">
        <v>300</v>
      </c>
      <c r="I222">
        <v>600</v>
      </c>
    </row>
    <row r="223" spans="1:9">
      <c r="A223">
        <v>222</v>
      </c>
      <c r="B223" s="1">
        <v>45042</v>
      </c>
      <c r="C223" t="s">
        <v>235</v>
      </c>
      <c r="D223" t="s">
        <v>10</v>
      </c>
      <c r="E223">
        <v>51</v>
      </c>
      <c r="F223" t="s">
        <v>14</v>
      </c>
      <c r="G223">
        <v>4</v>
      </c>
      <c r="H223">
        <v>30</v>
      </c>
      <c r="I223">
        <v>120</v>
      </c>
    </row>
    <row r="224" spans="1:9">
      <c r="A224">
        <v>223</v>
      </c>
      <c r="B224" s="1">
        <v>44959</v>
      </c>
      <c r="C224" t="s">
        <v>236</v>
      </c>
      <c r="D224" t="s">
        <v>13</v>
      </c>
      <c r="E224">
        <v>64</v>
      </c>
      <c r="F224" t="s">
        <v>14</v>
      </c>
      <c r="G224">
        <v>1</v>
      </c>
      <c r="H224">
        <v>25</v>
      </c>
      <c r="I224">
        <v>25</v>
      </c>
    </row>
    <row r="225" spans="1:9">
      <c r="A225">
        <v>224</v>
      </c>
      <c r="B225" s="1">
        <v>45100</v>
      </c>
      <c r="C225" t="s">
        <v>237</v>
      </c>
      <c r="D225" t="s">
        <v>13</v>
      </c>
      <c r="E225">
        <v>25</v>
      </c>
      <c r="F225" t="s">
        <v>14</v>
      </c>
      <c r="G225">
        <v>1</v>
      </c>
      <c r="H225">
        <v>50</v>
      </c>
      <c r="I225">
        <v>50</v>
      </c>
    </row>
    <row r="226" spans="1:9">
      <c r="A226">
        <v>225</v>
      </c>
      <c r="B226" s="1">
        <v>44937</v>
      </c>
      <c r="C226" t="s">
        <v>238</v>
      </c>
      <c r="D226" t="s">
        <v>13</v>
      </c>
      <c r="E226">
        <v>57</v>
      </c>
      <c r="F226" t="s">
        <v>11</v>
      </c>
      <c r="G226">
        <v>4</v>
      </c>
      <c r="H226">
        <v>25</v>
      </c>
      <c r="I226">
        <v>100</v>
      </c>
    </row>
    <row r="227" spans="1:9">
      <c r="A227">
        <v>226</v>
      </c>
      <c r="B227" s="1">
        <v>45228</v>
      </c>
      <c r="C227" t="s">
        <v>239</v>
      </c>
      <c r="D227" t="s">
        <v>13</v>
      </c>
      <c r="E227">
        <v>61</v>
      </c>
      <c r="F227" t="s">
        <v>14</v>
      </c>
      <c r="G227">
        <v>1</v>
      </c>
      <c r="H227">
        <v>50</v>
      </c>
      <c r="I227">
        <v>50</v>
      </c>
    </row>
    <row r="228" spans="1:9">
      <c r="A228">
        <v>227</v>
      </c>
      <c r="B228" s="1">
        <v>45210</v>
      </c>
      <c r="C228" t="s">
        <v>240</v>
      </c>
      <c r="D228" t="s">
        <v>10</v>
      </c>
      <c r="E228">
        <v>36</v>
      </c>
      <c r="F228" t="s">
        <v>16</v>
      </c>
      <c r="G228">
        <v>2</v>
      </c>
      <c r="H228">
        <v>50</v>
      </c>
      <c r="I228">
        <v>100</v>
      </c>
    </row>
    <row r="229" spans="1:9">
      <c r="A229">
        <v>228</v>
      </c>
      <c r="B229" s="1">
        <v>45044</v>
      </c>
      <c r="C229" t="s">
        <v>241</v>
      </c>
      <c r="D229" t="s">
        <v>13</v>
      </c>
      <c r="E229">
        <v>59</v>
      </c>
      <c r="F229" t="s">
        <v>16</v>
      </c>
      <c r="G229">
        <v>2</v>
      </c>
      <c r="H229">
        <v>30</v>
      </c>
      <c r="I229">
        <v>60</v>
      </c>
    </row>
    <row r="230" spans="1:9">
      <c r="A230">
        <v>229</v>
      </c>
      <c r="B230" s="1">
        <v>45228</v>
      </c>
      <c r="C230" t="s">
        <v>242</v>
      </c>
      <c r="D230" t="s">
        <v>10</v>
      </c>
      <c r="E230">
        <v>58</v>
      </c>
      <c r="F230" t="s">
        <v>11</v>
      </c>
      <c r="G230">
        <v>3</v>
      </c>
      <c r="H230">
        <v>30</v>
      </c>
      <c r="I230">
        <v>90</v>
      </c>
    </row>
    <row r="231" spans="1:9">
      <c r="A231">
        <v>230</v>
      </c>
      <c r="B231" s="1">
        <v>45039</v>
      </c>
      <c r="C231" t="s">
        <v>243</v>
      </c>
      <c r="D231" t="s">
        <v>10</v>
      </c>
      <c r="E231">
        <v>54</v>
      </c>
      <c r="F231" t="s">
        <v>11</v>
      </c>
      <c r="G231">
        <v>1</v>
      </c>
      <c r="H231">
        <v>25</v>
      </c>
      <c r="I231">
        <v>25</v>
      </c>
    </row>
    <row r="232" spans="1:9">
      <c r="A232">
        <v>231</v>
      </c>
      <c r="B232" s="1">
        <v>44930</v>
      </c>
      <c r="C232" t="s">
        <v>244</v>
      </c>
      <c r="D232" t="s">
        <v>13</v>
      </c>
      <c r="E232">
        <v>23</v>
      </c>
      <c r="F232" t="s">
        <v>14</v>
      </c>
      <c r="G232">
        <v>3</v>
      </c>
      <c r="H232">
        <v>50</v>
      </c>
      <c r="I232">
        <v>150</v>
      </c>
    </row>
    <row r="233" spans="1:9">
      <c r="A233">
        <v>232</v>
      </c>
      <c r="B233" s="1">
        <v>44963</v>
      </c>
      <c r="C233" t="s">
        <v>245</v>
      </c>
      <c r="D233" t="s">
        <v>13</v>
      </c>
      <c r="E233">
        <v>43</v>
      </c>
      <c r="F233" t="s">
        <v>11</v>
      </c>
      <c r="G233">
        <v>1</v>
      </c>
      <c r="H233">
        <v>25</v>
      </c>
      <c r="I233">
        <v>25</v>
      </c>
    </row>
    <row r="234" spans="1:9">
      <c r="A234">
        <v>233</v>
      </c>
      <c r="B234" s="1">
        <v>45289</v>
      </c>
      <c r="C234" t="s">
        <v>246</v>
      </c>
      <c r="D234" t="s">
        <v>13</v>
      </c>
      <c r="E234">
        <v>51</v>
      </c>
      <c r="F234" t="s">
        <v>11</v>
      </c>
      <c r="G234">
        <v>2</v>
      </c>
      <c r="H234">
        <v>300</v>
      </c>
      <c r="I234">
        <v>600</v>
      </c>
    </row>
    <row r="235" spans="1:9">
      <c r="A235">
        <v>234</v>
      </c>
      <c r="B235" s="1">
        <v>45250</v>
      </c>
      <c r="C235" t="s">
        <v>247</v>
      </c>
      <c r="D235" t="s">
        <v>13</v>
      </c>
      <c r="E235">
        <v>62</v>
      </c>
      <c r="F235" t="s">
        <v>16</v>
      </c>
      <c r="G235">
        <v>2</v>
      </c>
      <c r="H235">
        <v>25</v>
      </c>
      <c r="I235">
        <v>50</v>
      </c>
    </row>
    <row r="236" spans="1:9">
      <c r="A236">
        <v>235</v>
      </c>
      <c r="B236" s="1">
        <v>44957</v>
      </c>
      <c r="C236" t="s">
        <v>248</v>
      </c>
      <c r="D236" t="s">
        <v>13</v>
      </c>
      <c r="E236">
        <v>23</v>
      </c>
      <c r="F236" t="s">
        <v>16</v>
      </c>
      <c r="G236">
        <v>2</v>
      </c>
      <c r="H236">
        <v>500</v>
      </c>
      <c r="I236">
        <v>1000</v>
      </c>
    </row>
    <row r="237" spans="1:9">
      <c r="A237">
        <v>236</v>
      </c>
      <c r="B237" s="1">
        <v>45044</v>
      </c>
      <c r="C237" t="s">
        <v>249</v>
      </c>
      <c r="D237" t="s">
        <v>13</v>
      </c>
      <c r="E237">
        <v>54</v>
      </c>
      <c r="F237" t="s">
        <v>14</v>
      </c>
      <c r="G237">
        <v>1</v>
      </c>
      <c r="H237">
        <v>25</v>
      </c>
      <c r="I237">
        <v>25</v>
      </c>
    </row>
    <row r="238" spans="1:9">
      <c r="A238">
        <v>237</v>
      </c>
      <c r="B238" s="1">
        <v>44961</v>
      </c>
      <c r="C238" t="s">
        <v>250</v>
      </c>
      <c r="D238" t="s">
        <v>13</v>
      </c>
      <c r="E238">
        <v>50</v>
      </c>
      <c r="F238" t="s">
        <v>11</v>
      </c>
      <c r="G238">
        <v>2</v>
      </c>
      <c r="H238">
        <v>500</v>
      </c>
      <c r="I238">
        <v>1000</v>
      </c>
    </row>
    <row r="239" spans="1:9">
      <c r="A239">
        <v>238</v>
      </c>
      <c r="B239" s="1">
        <v>44943</v>
      </c>
      <c r="C239" t="s">
        <v>251</v>
      </c>
      <c r="D239" t="s">
        <v>13</v>
      </c>
      <c r="E239">
        <v>39</v>
      </c>
      <c r="F239" t="s">
        <v>11</v>
      </c>
      <c r="G239">
        <v>1</v>
      </c>
      <c r="H239">
        <v>500</v>
      </c>
      <c r="I239">
        <v>500</v>
      </c>
    </row>
    <row r="240" spans="1:9">
      <c r="A240">
        <v>239</v>
      </c>
      <c r="B240" s="1">
        <v>45096</v>
      </c>
      <c r="C240" t="s">
        <v>252</v>
      </c>
      <c r="D240" t="s">
        <v>10</v>
      </c>
      <c r="E240">
        <v>38</v>
      </c>
      <c r="F240" t="s">
        <v>16</v>
      </c>
      <c r="G240">
        <v>3</v>
      </c>
      <c r="H240">
        <v>500</v>
      </c>
      <c r="I240">
        <v>1500</v>
      </c>
    </row>
    <row r="241" spans="1:9">
      <c r="A241">
        <v>240</v>
      </c>
      <c r="B241" s="1">
        <v>44963</v>
      </c>
      <c r="C241" t="s">
        <v>253</v>
      </c>
      <c r="D241" t="s">
        <v>13</v>
      </c>
      <c r="E241">
        <v>23</v>
      </c>
      <c r="F241" t="s">
        <v>11</v>
      </c>
      <c r="G241">
        <v>1</v>
      </c>
      <c r="H241">
        <v>300</v>
      </c>
      <c r="I241">
        <v>300</v>
      </c>
    </row>
    <row r="242" spans="1:9">
      <c r="A242">
        <v>241</v>
      </c>
      <c r="B242" s="1">
        <v>45190</v>
      </c>
      <c r="C242" t="s">
        <v>254</v>
      </c>
      <c r="D242" t="s">
        <v>13</v>
      </c>
      <c r="E242">
        <v>23</v>
      </c>
      <c r="F242" t="s">
        <v>16</v>
      </c>
      <c r="G242">
        <v>3</v>
      </c>
      <c r="H242">
        <v>25</v>
      </c>
      <c r="I242">
        <v>75</v>
      </c>
    </row>
    <row r="243" spans="1:9">
      <c r="A243">
        <v>242</v>
      </c>
      <c r="B243" s="1">
        <v>45048</v>
      </c>
      <c r="C243" t="s">
        <v>255</v>
      </c>
      <c r="D243" t="s">
        <v>10</v>
      </c>
      <c r="E243">
        <v>21</v>
      </c>
      <c r="F243" t="s">
        <v>14</v>
      </c>
      <c r="G243">
        <v>1</v>
      </c>
      <c r="H243">
        <v>25</v>
      </c>
      <c r="I243">
        <v>25</v>
      </c>
    </row>
    <row r="244" spans="1:9">
      <c r="A244">
        <v>243</v>
      </c>
      <c r="B244" s="1">
        <v>45069</v>
      </c>
      <c r="C244" t="s">
        <v>256</v>
      </c>
      <c r="D244" t="s">
        <v>13</v>
      </c>
      <c r="E244">
        <v>47</v>
      </c>
      <c r="F244" t="s">
        <v>16</v>
      </c>
      <c r="G244">
        <v>3</v>
      </c>
      <c r="H244">
        <v>300</v>
      </c>
      <c r="I244">
        <v>900</v>
      </c>
    </row>
    <row r="245" spans="1:9">
      <c r="A245">
        <v>244</v>
      </c>
      <c r="B245" s="1">
        <v>45269</v>
      </c>
      <c r="C245" t="s">
        <v>257</v>
      </c>
      <c r="D245" t="s">
        <v>10</v>
      </c>
      <c r="E245">
        <v>28</v>
      </c>
      <c r="F245" t="s">
        <v>11</v>
      </c>
      <c r="G245">
        <v>2</v>
      </c>
      <c r="H245">
        <v>50</v>
      </c>
      <c r="I245">
        <v>100</v>
      </c>
    </row>
    <row r="246" spans="1:9">
      <c r="A246">
        <v>245</v>
      </c>
      <c r="B246" s="1">
        <v>45175</v>
      </c>
      <c r="C246" t="s">
        <v>258</v>
      </c>
      <c r="D246" t="s">
        <v>10</v>
      </c>
      <c r="E246">
        <v>47</v>
      </c>
      <c r="F246" t="s">
        <v>14</v>
      </c>
      <c r="G246">
        <v>3</v>
      </c>
      <c r="H246">
        <v>30</v>
      </c>
      <c r="I246">
        <v>90</v>
      </c>
    </row>
    <row r="247" spans="1:9">
      <c r="A247">
        <v>246</v>
      </c>
      <c r="B247" s="1">
        <v>45036</v>
      </c>
      <c r="C247" t="s">
        <v>259</v>
      </c>
      <c r="D247" t="s">
        <v>13</v>
      </c>
      <c r="E247">
        <v>48</v>
      </c>
      <c r="F247" t="s">
        <v>16</v>
      </c>
      <c r="G247">
        <v>2</v>
      </c>
      <c r="H247">
        <v>25</v>
      </c>
      <c r="I247">
        <v>50</v>
      </c>
    </row>
    <row r="248" spans="1:9">
      <c r="A248">
        <v>247</v>
      </c>
      <c r="B248" s="1">
        <v>45203</v>
      </c>
      <c r="C248" t="s">
        <v>260</v>
      </c>
      <c r="D248" t="s">
        <v>10</v>
      </c>
      <c r="E248">
        <v>41</v>
      </c>
      <c r="F248" t="s">
        <v>16</v>
      </c>
      <c r="G248">
        <v>2</v>
      </c>
      <c r="H248">
        <v>30</v>
      </c>
      <c r="I248">
        <v>60</v>
      </c>
    </row>
    <row r="249" spans="1:9">
      <c r="A249">
        <v>248</v>
      </c>
      <c r="B249" s="1">
        <v>44994</v>
      </c>
      <c r="C249" t="s">
        <v>261</v>
      </c>
      <c r="D249" t="s">
        <v>10</v>
      </c>
      <c r="E249">
        <v>26</v>
      </c>
      <c r="F249" t="s">
        <v>14</v>
      </c>
      <c r="G249">
        <v>3</v>
      </c>
      <c r="H249">
        <v>300</v>
      </c>
      <c r="I249">
        <v>900</v>
      </c>
    </row>
    <row r="250" spans="1:9">
      <c r="A250">
        <v>249</v>
      </c>
      <c r="B250" s="1">
        <v>45219</v>
      </c>
      <c r="C250" t="s">
        <v>262</v>
      </c>
      <c r="D250" t="s">
        <v>10</v>
      </c>
      <c r="E250">
        <v>20</v>
      </c>
      <c r="F250" t="s">
        <v>14</v>
      </c>
      <c r="G250">
        <v>1</v>
      </c>
      <c r="H250">
        <v>50</v>
      </c>
      <c r="I250">
        <v>50</v>
      </c>
    </row>
    <row r="251" spans="1:9">
      <c r="A251">
        <v>250</v>
      </c>
      <c r="B251" s="1">
        <v>45222</v>
      </c>
      <c r="C251" t="s">
        <v>263</v>
      </c>
      <c r="D251" t="s">
        <v>10</v>
      </c>
      <c r="E251">
        <v>48</v>
      </c>
      <c r="F251" t="s">
        <v>16</v>
      </c>
      <c r="G251">
        <v>1</v>
      </c>
      <c r="H251">
        <v>50</v>
      </c>
      <c r="I251">
        <v>50</v>
      </c>
    </row>
    <row r="252" spans="1:9">
      <c r="A252">
        <v>251</v>
      </c>
      <c r="B252" s="1">
        <v>45169</v>
      </c>
      <c r="C252" t="s">
        <v>264</v>
      </c>
      <c r="D252" t="s">
        <v>13</v>
      </c>
      <c r="E252">
        <v>57</v>
      </c>
      <c r="F252" t="s">
        <v>11</v>
      </c>
      <c r="G252">
        <v>4</v>
      </c>
      <c r="H252">
        <v>50</v>
      </c>
      <c r="I252">
        <v>200</v>
      </c>
    </row>
    <row r="253" spans="1:9">
      <c r="A253">
        <v>252</v>
      </c>
      <c r="B253" s="1">
        <v>45051</v>
      </c>
      <c r="C253" t="s">
        <v>265</v>
      </c>
      <c r="D253" t="s">
        <v>10</v>
      </c>
      <c r="E253">
        <v>54</v>
      </c>
      <c r="F253" t="s">
        <v>16</v>
      </c>
      <c r="G253">
        <v>1</v>
      </c>
      <c r="H253">
        <v>300</v>
      </c>
      <c r="I253">
        <v>300</v>
      </c>
    </row>
    <row r="254" spans="1:9">
      <c r="A254">
        <v>253</v>
      </c>
      <c r="B254" s="1">
        <v>45169</v>
      </c>
      <c r="C254" t="s">
        <v>266</v>
      </c>
      <c r="D254" t="s">
        <v>13</v>
      </c>
      <c r="E254">
        <v>53</v>
      </c>
      <c r="F254" t="s">
        <v>14</v>
      </c>
      <c r="G254">
        <v>4</v>
      </c>
      <c r="H254">
        <v>500</v>
      </c>
      <c r="I254">
        <v>2000</v>
      </c>
    </row>
    <row r="255" spans="1:9">
      <c r="A255">
        <v>254</v>
      </c>
      <c r="B255" s="1">
        <v>45135</v>
      </c>
      <c r="C255" t="s">
        <v>267</v>
      </c>
      <c r="D255" t="s">
        <v>10</v>
      </c>
      <c r="E255">
        <v>41</v>
      </c>
      <c r="F255" t="s">
        <v>16</v>
      </c>
      <c r="G255">
        <v>1</v>
      </c>
      <c r="H255">
        <v>500</v>
      </c>
      <c r="I255">
        <v>500</v>
      </c>
    </row>
    <row r="256" spans="1:9">
      <c r="A256">
        <v>255</v>
      </c>
      <c r="B256" s="1">
        <v>45024</v>
      </c>
      <c r="C256" t="s">
        <v>268</v>
      </c>
      <c r="D256" t="s">
        <v>10</v>
      </c>
      <c r="E256">
        <v>48</v>
      </c>
      <c r="F256" t="s">
        <v>14</v>
      </c>
      <c r="G256">
        <v>1</v>
      </c>
      <c r="H256">
        <v>30</v>
      </c>
      <c r="I256">
        <v>30</v>
      </c>
    </row>
    <row r="257" spans="1:9">
      <c r="A257">
        <v>256</v>
      </c>
      <c r="B257" s="1">
        <v>44975</v>
      </c>
      <c r="C257" t="s">
        <v>269</v>
      </c>
      <c r="D257" t="s">
        <v>10</v>
      </c>
      <c r="E257">
        <v>23</v>
      </c>
      <c r="F257" t="s">
        <v>14</v>
      </c>
      <c r="G257">
        <v>2</v>
      </c>
      <c r="H257">
        <v>500</v>
      </c>
      <c r="I257">
        <v>1000</v>
      </c>
    </row>
    <row r="258" spans="1:9">
      <c r="A258">
        <v>257</v>
      </c>
      <c r="B258" s="1">
        <v>44976</v>
      </c>
      <c r="C258" t="s">
        <v>270</v>
      </c>
      <c r="D258" t="s">
        <v>10</v>
      </c>
      <c r="E258">
        <v>19</v>
      </c>
      <c r="F258" t="s">
        <v>11</v>
      </c>
      <c r="G258">
        <v>4</v>
      </c>
      <c r="H258">
        <v>500</v>
      </c>
      <c r="I258">
        <v>2000</v>
      </c>
    </row>
    <row r="259" spans="1:9">
      <c r="A259">
        <v>258</v>
      </c>
      <c r="B259" s="1">
        <v>45264</v>
      </c>
      <c r="C259" t="s">
        <v>271</v>
      </c>
      <c r="D259" t="s">
        <v>13</v>
      </c>
      <c r="E259">
        <v>37</v>
      </c>
      <c r="F259" t="s">
        <v>14</v>
      </c>
      <c r="G259">
        <v>1</v>
      </c>
      <c r="H259">
        <v>50</v>
      </c>
      <c r="I259">
        <v>50</v>
      </c>
    </row>
    <row r="260" spans="1:9">
      <c r="A260">
        <v>259</v>
      </c>
      <c r="B260" s="1">
        <v>45147</v>
      </c>
      <c r="C260" t="s">
        <v>272</v>
      </c>
      <c r="D260" t="s">
        <v>13</v>
      </c>
      <c r="E260">
        <v>45</v>
      </c>
      <c r="F260" t="s">
        <v>14</v>
      </c>
      <c r="G260">
        <v>4</v>
      </c>
      <c r="H260">
        <v>50</v>
      </c>
      <c r="I260">
        <v>200</v>
      </c>
    </row>
    <row r="261" spans="1:9">
      <c r="A261">
        <v>260</v>
      </c>
      <c r="B261" s="1">
        <v>45108</v>
      </c>
      <c r="C261" t="s">
        <v>273</v>
      </c>
      <c r="D261" t="s">
        <v>10</v>
      </c>
      <c r="E261">
        <v>28</v>
      </c>
      <c r="F261" t="s">
        <v>11</v>
      </c>
      <c r="G261">
        <v>2</v>
      </c>
      <c r="H261">
        <v>30</v>
      </c>
      <c r="I261">
        <v>60</v>
      </c>
    </row>
    <row r="262" spans="1:9">
      <c r="A262">
        <v>261</v>
      </c>
      <c r="B262" s="1">
        <v>45143</v>
      </c>
      <c r="C262" t="s">
        <v>274</v>
      </c>
      <c r="D262" t="s">
        <v>10</v>
      </c>
      <c r="E262">
        <v>21</v>
      </c>
      <c r="F262" t="s">
        <v>14</v>
      </c>
      <c r="G262">
        <v>2</v>
      </c>
      <c r="H262">
        <v>25</v>
      </c>
      <c r="I262">
        <v>50</v>
      </c>
    </row>
    <row r="263" spans="1:9">
      <c r="A263">
        <v>262</v>
      </c>
      <c r="B263" s="1">
        <v>45137</v>
      </c>
      <c r="C263" t="s">
        <v>275</v>
      </c>
      <c r="D263" t="s">
        <v>13</v>
      </c>
      <c r="E263">
        <v>32</v>
      </c>
      <c r="F263" t="s">
        <v>11</v>
      </c>
      <c r="G263">
        <v>4</v>
      </c>
      <c r="H263">
        <v>30</v>
      </c>
      <c r="I263">
        <v>120</v>
      </c>
    </row>
    <row r="264" spans="1:9">
      <c r="A264">
        <v>263</v>
      </c>
      <c r="B264" s="1">
        <v>45166</v>
      </c>
      <c r="C264" t="s">
        <v>276</v>
      </c>
      <c r="D264" t="s">
        <v>10</v>
      </c>
      <c r="E264">
        <v>23</v>
      </c>
      <c r="F264" t="s">
        <v>11</v>
      </c>
      <c r="G264">
        <v>2</v>
      </c>
      <c r="H264">
        <v>30</v>
      </c>
      <c r="I264">
        <v>60</v>
      </c>
    </row>
    <row r="265" spans="1:9">
      <c r="A265">
        <v>264</v>
      </c>
      <c r="B265" s="1">
        <v>44954</v>
      </c>
      <c r="C265" t="s">
        <v>277</v>
      </c>
      <c r="D265" t="s">
        <v>10</v>
      </c>
      <c r="E265">
        <v>47</v>
      </c>
      <c r="F265" t="s">
        <v>14</v>
      </c>
      <c r="G265">
        <v>3</v>
      </c>
      <c r="H265">
        <v>300</v>
      </c>
      <c r="I265">
        <v>900</v>
      </c>
    </row>
    <row r="266" spans="1:9">
      <c r="A266">
        <v>265</v>
      </c>
      <c r="B266" s="1">
        <v>45271</v>
      </c>
      <c r="C266" t="s">
        <v>278</v>
      </c>
      <c r="D266" t="s">
        <v>10</v>
      </c>
      <c r="E266">
        <v>55</v>
      </c>
      <c r="F266" t="s">
        <v>14</v>
      </c>
      <c r="G266">
        <v>3</v>
      </c>
      <c r="H266">
        <v>300</v>
      </c>
      <c r="I266">
        <v>900</v>
      </c>
    </row>
    <row r="267" spans="1:9">
      <c r="A267">
        <v>266</v>
      </c>
      <c r="B267" s="1">
        <v>45261</v>
      </c>
      <c r="C267" t="s">
        <v>279</v>
      </c>
      <c r="D267" t="s">
        <v>13</v>
      </c>
      <c r="E267">
        <v>19</v>
      </c>
      <c r="F267" t="s">
        <v>16</v>
      </c>
      <c r="G267">
        <v>2</v>
      </c>
      <c r="H267">
        <v>30</v>
      </c>
      <c r="I267">
        <v>60</v>
      </c>
    </row>
    <row r="268" spans="1:9">
      <c r="A268">
        <v>267</v>
      </c>
      <c r="B268" s="1">
        <v>45257</v>
      </c>
      <c r="C268" t="s">
        <v>280</v>
      </c>
      <c r="D268" t="s">
        <v>13</v>
      </c>
      <c r="E268">
        <v>32</v>
      </c>
      <c r="F268" t="s">
        <v>11</v>
      </c>
      <c r="G268">
        <v>3</v>
      </c>
      <c r="H268">
        <v>30</v>
      </c>
      <c r="I268">
        <v>90</v>
      </c>
    </row>
    <row r="269" spans="1:9">
      <c r="A269">
        <v>268</v>
      </c>
      <c r="B269" s="1">
        <v>44977</v>
      </c>
      <c r="C269" t="s">
        <v>281</v>
      </c>
      <c r="D269" t="s">
        <v>13</v>
      </c>
      <c r="E269">
        <v>28</v>
      </c>
      <c r="F269" t="s">
        <v>16</v>
      </c>
      <c r="G269">
        <v>1</v>
      </c>
      <c r="H269">
        <v>30</v>
      </c>
      <c r="I269">
        <v>30</v>
      </c>
    </row>
    <row r="270" spans="1:9">
      <c r="A270">
        <v>269</v>
      </c>
      <c r="B270" s="1">
        <v>44958</v>
      </c>
      <c r="C270" t="s">
        <v>282</v>
      </c>
      <c r="D270" t="s">
        <v>10</v>
      </c>
      <c r="E270">
        <v>25</v>
      </c>
      <c r="F270" t="s">
        <v>14</v>
      </c>
      <c r="G270">
        <v>4</v>
      </c>
      <c r="H270">
        <v>500</v>
      </c>
      <c r="I270">
        <v>2000</v>
      </c>
    </row>
    <row r="271" spans="1:9">
      <c r="A271">
        <v>270</v>
      </c>
      <c r="B271" s="1">
        <v>45133</v>
      </c>
      <c r="C271" t="s">
        <v>283</v>
      </c>
      <c r="D271" t="s">
        <v>10</v>
      </c>
      <c r="E271">
        <v>43</v>
      </c>
      <c r="F271" t="s">
        <v>16</v>
      </c>
      <c r="G271">
        <v>1</v>
      </c>
      <c r="H271">
        <v>300</v>
      </c>
      <c r="I271">
        <v>300</v>
      </c>
    </row>
    <row r="272" spans="1:9">
      <c r="A272">
        <v>271</v>
      </c>
      <c r="B272" s="1">
        <v>45100</v>
      </c>
      <c r="C272" t="s">
        <v>284</v>
      </c>
      <c r="D272" t="s">
        <v>13</v>
      </c>
      <c r="E272">
        <v>62</v>
      </c>
      <c r="F272" t="s">
        <v>11</v>
      </c>
      <c r="G272">
        <v>4</v>
      </c>
      <c r="H272">
        <v>30</v>
      </c>
      <c r="I272">
        <v>120</v>
      </c>
    </row>
    <row r="273" spans="1:9">
      <c r="A273">
        <v>272</v>
      </c>
      <c r="B273" s="1">
        <v>44982</v>
      </c>
      <c r="C273" t="s">
        <v>285</v>
      </c>
      <c r="D273" t="s">
        <v>13</v>
      </c>
      <c r="E273">
        <v>61</v>
      </c>
      <c r="F273" t="s">
        <v>16</v>
      </c>
      <c r="G273">
        <v>2</v>
      </c>
      <c r="H273">
        <v>50</v>
      </c>
      <c r="I273">
        <v>100</v>
      </c>
    </row>
    <row r="274" spans="1:9">
      <c r="A274">
        <v>273</v>
      </c>
      <c r="B274" s="1">
        <v>45054</v>
      </c>
      <c r="C274" t="s">
        <v>286</v>
      </c>
      <c r="D274" t="s">
        <v>13</v>
      </c>
      <c r="E274">
        <v>22</v>
      </c>
      <c r="F274" t="s">
        <v>11</v>
      </c>
      <c r="G274">
        <v>1</v>
      </c>
      <c r="H274">
        <v>50</v>
      </c>
      <c r="I274">
        <v>50</v>
      </c>
    </row>
    <row r="275" spans="1:9">
      <c r="A275">
        <v>274</v>
      </c>
      <c r="B275" s="1">
        <v>45025</v>
      </c>
      <c r="C275" t="s">
        <v>287</v>
      </c>
      <c r="D275" t="s">
        <v>13</v>
      </c>
      <c r="E275">
        <v>23</v>
      </c>
      <c r="F275" t="s">
        <v>14</v>
      </c>
      <c r="G275">
        <v>2</v>
      </c>
      <c r="H275">
        <v>500</v>
      </c>
      <c r="I275">
        <v>1000</v>
      </c>
    </row>
    <row r="276" spans="1:9">
      <c r="A276">
        <v>275</v>
      </c>
      <c r="B276" s="1">
        <v>45024</v>
      </c>
      <c r="C276" t="s">
        <v>288</v>
      </c>
      <c r="D276" t="s">
        <v>10</v>
      </c>
      <c r="E276">
        <v>43</v>
      </c>
      <c r="F276" t="s">
        <v>14</v>
      </c>
      <c r="G276">
        <v>2</v>
      </c>
      <c r="H276">
        <v>500</v>
      </c>
      <c r="I276">
        <v>1000</v>
      </c>
    </row>
    <row r="277" spans="1:9">
      <c r="A277">
        <v>276</v>
      </c>
      <c r="B277" s="1">
        <v>45201</v>
      </c>
      <c r="C277" t="s">
        <v>289</v>
      </c>
      <c r="D277" t="s">
        <v>13</v>
      </c>
      <c r="E277">
        <v>21</v>
      </c>
      <c r="F277" t="s">
        <v>11</v>
      </c>
      <c r="G277">
        <v>4</v>
      </c>
      <c r="H277">
        <v>25</v>
      </c>
      <c r="I277">
        <v>100</v>
      </c>
    </row>
    <row r="278" spans="1:9">
      <c r="A278">
        <v>277</v>
      </c>
      <c r="B278" s="1">
        <v>45156</v>
      </c>
      <c r="C278" t="s">
        <v>290</v>
      </c>
      <c r="D278" t="s">
        <v>10</v>
      </c>
      <c r="E278">
        <v>36</v>
      </c>
      <c r="F278" t="s">
        <v>14</v>
      </c>
      <c r="G278">
        <v>4</v>
      </c>
      <c r="H278">
        <v>25</v>
      </c>
      <c r="I278">
        <v>100</v>
      </c>
    </row>
    <row r="279" spans="1:9">
      <c r="A279">
        <v>278</v>
      </c>
      <c r="B279" s="1">
        <v>44998</v>
      </c>
      <c r="C279" t="s">
        <v>291</v>
      </c>
      <c r="D279" t="s">
        <v>13</v>
      </c>
      <c r="E279">
        <v>37</v>
      </c>
      <c r="F279" t="s">
        <v>14</v>
      </c>
      <c r="G279">
        <v>4</v>
      </c>
      <c r="H279">
        <v>25</v>
      </c>
      <c r="I279">
        <v>100</v>
      </c>
    </row>
    <row r="280" spans="1:9">
      <c r="A280">
        <v>279</v>
      </c>
      <c r="B280" s="1">
        <v>45143</v>
      </c>
      <c r="C280" t="s">
        <v>292</v>
      </c>
      <c r="D280" t="s">
        <v>10</v>
      </c>
      <c r="E280">
        <v>50</v>
      </c>
      <c r="F280" t="s">
        <v>14</v>
      </c>
      <c r="G280">
        <v>1</v>
      </c>
      <c r="H280">
        <v>500</v>
      </c>
      <c r="I280">
        <v>500</v>
      </c>
    </row>
    <row r="281" spans="1:9">
      <c r="A281">
        <v>280</v>
      </c>
      <c r="B281" s="1">
        <v>45020</v>
      </c>
      <c r="C281" t="s">
        <v>293</v>
      </c>
      <c r="D281" t="s">
        <v>13</v>
      </c>
      <c r="E281">
        <v>37</v>
      </c>
      <c r="F281" t="s">
        <v>14</v>
      </c>
      <c r="G281">
        <v>3</v>
      </c>
      <c r="H281">
        <v>500</v>
      </c>
      <c r="I281">
        <v>1500</v>
      </c>
    </row>
    <row r="282" spans="1:9">
      <c r="A282">
        <v>281</v>
      </c>
      <c r="B282" s="1">
        <v>45069</v>
      </c>
      <c r="C282" t="s">
        <v>294</v>
      </c>
      <c r="D282" t="s">
        <v>13</v>
      </c>
      <c r="E282">
        <v>29</v>
      </c>
      <c r="F282" t="s">
        <v>11</v>
      </c>
      <c r="G282">
        <v>4</v>
      </c>
      <c r="H282">
        <v>500</v>
      </c>
      <c r="I282">
        <v>2000</v>
      </c>
    </row>
    <row r="283" spans="1:9">
      <c r="A283">
        <v>282</v>
      </c>
      <c r="B283" s="1">
        <v>45163</v>
      </c>
      <c r="C283" t="s">
        <v>295</v>
      </c>
      <c r="D283" t="s">
        <v>13</v>
      </c>
      <c r="E283">
        <v>64</v>
      </c>
      <c r="F283" t="s">
        <v>16</v>
      </c>
      <c r="G283">
        <v>4</v>
      </c>
      <c r="H283">
        <v>50</v>
      </c>
      <c r="I283">
        <v>200</v>
      </c>
    </row>
    <row r="284" spans="1:9">
      <c r="A284">
        <v>283</v>
      </c>
      <c r="B284" s="1">
        <v>45054</v>
      </c>
      <c r="C284" t="s">
        <v>296</v>
      </c>
      <c r="D284" t="s">
        <v>13</v>
      </c>
      <c r="E284">
        <v>18</v>
      </c>
      <c r="F284" t="s">
        <v>16</v>
      </c>
      <c r="G284">
        <v>1</v>
      </c>
      <c r="H284">
        <v>500</v>
      </c>
      <c r="I284">
        <v>500</v>
      </c>
    </row>
    <row r="285" spans="1:9">
      <c r="A285">
        <v>284</v>
      </c>
      <c r="B285" s="1">
        <v>44965</v>
      </c>
      <c r="C285" t="s">
        <v>297</v>
      </c>
      <c r="D285" t="s">
        <v>10</v>
      </c>
      <c r="E285">
        <v>43</v>
      </c>
      <c r="F285" t="s">
        <v>14</v>
      </c>
      <c r="G285">
        <v>4</v>
      </c>
      <c r="H285">
        <v>50</v>
      </c>
      <c r="I285">
        <v>200</v>
      </c>
    </row>
    <row r="286" spans="1:9">
      <c r="A286">
        <v>285</v>
      </c>
      <c r="B286" s="1">
        <v>45153</v>
      </c>
      <c r="C286" t="s">
        <v>298</v>
      </c>
      <c r="D286" t="s">
        <v>13</v>
      </c>
      <c r="E286">
        <v>31</v>
      </c>
      <c r="F286" t="s">
        <v>16</v>
      </c>
      <c r="G286">
        <v>1</v>
      </c>
      <c r="H286">
        <v>25</v>
      </c>
      <c r="I286">
        <v>25</v>
      </c>
    </row>
    <row r="287" spans="1:9">
      <c r="A287">
        <v>286</v>
      </c>
      <c r="B287" s="1">
        <v>45208</v>
      </c>
      <c r="C287" t="s">
        <v>299</v>
      </c>
      <c r="D287" t="s">
        <v>10</v>
      </c>
      <c r="E287">
        <v>55</v>
      </c>
      <c r="F287" t="s">
        <v>16</v>
      </c>
      <c r="G287">
        <v>2</v>
      </c>
      <c r="H287">
        <v>25</v>
      </c>
      <c r="I287">
        <v>50</v>
      </c>
    </row>
    <row r="288" spans="1:9">
      <c r="A288">
        <v>287</v>
      </c>
      <c r="B288" s="1">
        <v>44977</v>
      </c>
      <c r="C288" t="s">
        <v>300</v>
      </c>
      <c r="D288" t="s">
        <v>10</v>
      </c>
      <c r="E288">
        <v>54</v>
      </c>
      <c r="F288" t="s">
        <v>14</v>
      </c>
      <c r="G288">
        <v>4</v>
      </c>
      <c r="H288">
        <v>25</v>
      </c>
      <c r="I288">
        <v>100</v>
      </c>
    </row>
    <row r="289" spans="1:9">
      <c r="A289">
        <v>288</v>
      </c>
      <c r="B289" s="1">
        <v>44952</v>
      </c>
      <c r="C289" t="s">
        <v>301</v>
      </c>
      <c r="D289" t="s">
        <v>10</v>
      </c>
      <c r="E289">
        <v>28</v>
      </c>
      <c r="F289" t="s">
        <v>14</v>
      </c>
      <c r="G289">
        <v>4</v>
      </c>
      <c r="H289">
        <v>30</v>
      </c>
      <c r="I289">
        <v>120</v>
      </c>
    </row>
    <row r="290" spans="1:9">
      <c r="A290">
        <v>289</v>
      </c>
      <c r="B290" s="1">
        <v>45260</v>
      </c>
      <c r="C290" t="s">
        <v>302</v>
      </c>
      <c r="D290" t="s">
        <v>10</v>
      </c>
      <c r="E290">
        <v>53</v>
      </c>
      <c r="F290" t="s">
        <v>16</v>
      </c>
      <c r="G290">
        <v>2</v>
      </c>
      <c r="H290">
        <v>30</v>
      </c>
      <c r="I290">
        <v>60</v>
      </c>
    </row>
    <row r="291" spans="1:9">
      <c r="A291">
        <v>290</v>
      </c>
      <c r="B291" s="1">
        <v>45203</v>
      </c>
      <c r="C291" t="s">
        <v>303</v>
      </c>
      <c r="D291" t="s">
        <v>13</v>
      </c>
      <c r="E291">
        <v>30</v>
      </c>
      <c r="F291" t="s">
        <v>11</v>
      </c>
      <c r="G291">
        <v>2</v>
      </c>
      <c r="H291">
        <v>300</v>
      </c>
      <c r="I291">
        <v>600</v>
      </c>
    </row>
    <row r="292" spans="1:9">
      <c r="A292">
        <v>291</v>
      </c>
      <c r="B292" s="1">
        <v>44934</v>
      </c>
      <c r="C292" t="s">
        <v>304</v>
      </c>
      <c r="D292" t="s">
        <v>10</v>
      </c>
      <c r="E292">
        <v>60</v>
      </c>
      <c r="F292" t="s">
        <v>14</v>
      </c>
      <c r="G292">
        <v>2</v>
      </c>
      <c r="H292">
        <v>300</v>
      </c>
      <c r="I292">
        <v>600</v>
      </c>
    </row>
    <row r="293" spans="1:9">
      <c r="A293">
        <v>292</v>
      </c>
      <c r="B293" s="1">
        <v>44974</v>
      </c>
      <c r="C293" t="s">
        <v>305</v>
      </c>
      <c r="D293" t="s">
        <v>10</v>
      </c>
      <c r="E293">
        <v>20</v>
      </c>
      <c r="F293" t="s">
        <v>11</v>
      </c>
      <c r="G293">
        <v>4</v>
      </c>
      <c r="H293">
        <v>300</v>
      </c>
      <c r="I293">
        <v>1200</v>
      </c>
    </row>
    <row r="294" spans="1:9">
      <c r="A294">
        <v>293</v>
      </c>
      <c r="B294" s="1">
        <v>45048</v>
      </c>
      <c r="C294" t="s">
        <v>306</v>
      </c>
      <c r="D294" t="s">
        <v>10</v>
      </c>
      <c r="E294">
        <v>50</v>
      </c>
      <c r="F294" t="s">
        <v>16</v>
      </c>
      <c r="G294">
        <v>3</v>
      </c>
      <c r="H294">
        <v>30</v>
      </c>
      <c r="I294">
        <v>90</v>
      </c>
    </row>
    <row r="295" spans="1:9">
      <c r="A295">
        <v>294</v>
      </c>
      <c r="B295" s="1">
        <v>45012</v>
      </c>
      <c r="C295" t="s">
        <v>307</v>
      </c>
      <c r="D295" t="s">
        <v>13</v>
      </c>
      <c r="E295">
        <v>23</v>
      </c>
      <c r="F295" t="s">
        <v>14</v>
      </c>
      <c r="G295">
        <v>3</v>
      </c>
      <c r="H295">
        <v>30</v>
      </c>
      <c r="I295">
        <v>90</v>
      </c>
    </row>
    <row r="296" spans="1:9">
      <c r="A296">
        <v>295</v>
      </c>
      <c r="B296" s="1">
        <v>45135</v>
      </c>
      <c r="C296" t="s">
        <v>308</v>
      </c>
      <c r="D296" t="s">
        <v>13</v>
      </c>
      <c r="E296">
        <v>27</v>
      </c>
      <c r="F296" t="s">
        <v>11</v>
      </c>
      <c r="G296">
        <v>3</v>
      </c>
      <c r="H296">
        <v>300</v>
      </c>
      <c r="I296">
        <v>900</v>
      </c>
    </row>
    <row r="297" spans="1:9">
      <c r="A297">
        <v>296</v>
      </c>
      <c r="B297" s="1">
        <v>45175</v>
      </c>
      <c r="C297" t="s">
        <v>309</v>
      </c>
      <c r="D297" t="s">
        <v>13</v>
      </c>
      <c r="E297">
        <v>22</v>
      </c>
      <c r="F297" t="s">
        <v>14</v>
      </c>
      <c r="G297">
        <v>4</v>
      </c>
      <c r="H297">
        <v>300</v>
      </c>
      <c r="I297">
        <v>1200</v>
      </c>
    </row>
    <row r="298" spans="1:9">
      <c r="A298">
        <v>297</v>
      </c>
      <c r="B298" s="1">
        <v>45173</v>
      </c>
      <c r="C298" t="s">
        <v>310</v>
      </c>
      <c r="D298" t="s">
        <v>13</v>
      </c>
      <c r="E298">
        <v>40</v>
      </c>
      <c r="F298" t="s">
        <v>16</v>
      </c>
      <c r="G298">
        <v>2</v>
      </c>
      <c r="H298">
        <v>500</v>
      </c>
      <c r="I298">
        <v>1000</v>
      </c>
    </row>
    <row r="299" spans="1:9">
      <c r="A299">
        <v>298</v>
      </c>
      <c r="B299" s="1">
        <v>45036</v>
      </c>
      <c r="C299" t="s">
        <v>311</v>
      </c>
      <c r="D299" t="s">
        <v>10</v>
      </c>
      <c r="E299">
        <v>27</v>
      </c>
      <c r="F299" t="s">
        <v>11</v>
      </c>
      <c r="G299">
        <v>4</v>
      </c>
      <c r="H299">
        <v>300</v>
      </c>
      <c r="I299">
        <v>1200</v>
      </c>
    </row>
    <row r="300" spans="1:9">
      <c r="A300">
        <v>299</v>
      </c>
      <c r="B300" s="1">
        <v>45132</v>
      </c>
      <c r="C300" t="s">
        <v>312</v>
      </c>
      <c r="D300" t="s">
        <v>10</v>
      </c>
      <c r="E300">
        <v>61</v>
      </c>
      <c r="F300" t="s">
        <v>16</v>
      </c>
      <c r="G300">
        <v>2</v>
      </c>
      <c r="H300">
        <v>500</v>
      </c>
      <c r="I300">
        <v>1000</v>
      </c>
    </row>
    <row r="301" spans="1:9">
      <c r="A301">
        <v>300</v>
      </c>
      <c r="B301" s="1">
        <v>44957</v>
      </c>
      <c r="C301" t="s">
        <v>313</v>
      </c>
      <c r="D301" t="s">
        <v>13</v>
      </c>
      <c r="E301">
        <v>19</v>
      </c>
      <c r="F301" t="s">
        <v>16</v>
      </c>
      <c r="G301">
        <v>4</v>
      </c>
      <c r="H301">
        <v>50</v>
      </c>
      <c r="I301">
        <v>200</v>
      </c>
    </row>
    <row r="302" spans="1:9">
      <c r="A302">
        <v>301</v>
      </c>
      <c r="B302" s="1">
        <v>45011</v>
      </c>
      <c r="C302" t="s">
        <v>314</v>
      </c>
      <c r="D302" t="s">
        <v>10</v>
      </c>
      <c r="E302">
        <v>30</v>
      </c>
      <c r="F302" t="s">
        <v>14</v>
      </c>
      <c r="G302">
        <v>4</v>
      </c>
      <c r="H302">
        <v>30</v>
      </c>
      <c r="I302">
        <v>120</v>
      </c>
    </row>
    <row r="303" spans="1:9">
      <c r="A303">
        <v>302</v>
      </c>
      <c r="B303" s="1">
        <v>45121</v>
      </c>
      <c r="C303" t="s">
        <v>315</v>
      </c>
      <c r="D303" t="s">
        <v>10</v>
      </c>
      <c r="E303">
        <v>57</v>
      </c>
      <c r="F303" t="s">
        <v>11</v>
      </c>
      <c r="G303">
        <v>2</v>
      </c>
      <c r="H303">
        <v>300</v>
      </c>
      <c r="I303">
        <v>600</v>
      </c>
    </row>
    <row r="304" spans="1:9">
      <c r="A304">
        <v>303</v>
      </c>
      <c r="B304" s="1">
        <v>44928</v>
      </c>
      <c r="C304" t="s">
        <v>316</v>
      </c>
      <c r="D304" t="s">
        <v>10</v>
      </c>
      <c r="E304">
        <v>19</v>
      </c>
      <c r="F304" t="s">
        <v>16</v>
      </c>
      <c r="G304">
        <v>3</v>
      </c>
      <c r="H304">
        <v>30</v>
      </c>
      <c r="I304">
        <v>90</v>
      </c>
    </row>
    <row r="305" spans="1:9">
      <c r="A305">
        <v>304</v>
      </c>
      <c r="B305" s="1">
        <v>45126</v>
      </c>
      <c r="C305" t="s">
        <v>317</v>
      </c>
      <c r="D305" t="s">
        <v>13</v>
      </c>
      <c r="E305">
        <v>37</v>
      </c>
      <c r="F305" t="s">
        <v>16</v>
      </c>
      <c r="G305">
        <v>2</v>
      </c>
      <c r="H305">
        <v>30</v>
      </c>
      <c r="I305">
        <v>60</v>
      </c>
    </row>
    <row r="306" spans="1:9">
      <c r="A306">
        <v>305</v>
      </c>
      <c r="B306" s="1">
        <v>45062</v>
      </c>
      <c r="C306" t="s">
        <v>318</v>
      </c>
      <c r="D306" t="s">
        <v>13</v>
      </c>
      <c r="E306">
        <v>18</v>
      </c>
      <c r="F306" t="s">
        <v>11</v>
      </c>
      <c r="G306">
        <v>1</v>
      </c>
      <c r="H306">
        <v>30</v>
      </c>
      <c r="I306">
        <v>30</v>
      </c>
    </row>
    <row r="307" spans="1:9">
      <c r="A307">
        <v>306</v>
      </c>
      <c r="B307" s="1">
        <v>45159</v>
      </c>
      <c r="C307" t="s">
        <v>319</v>
      </c>
      <c r="D307" t="s">
        <v>10</v>
      </c>
      <c r="E307">
        <v>54</v>
      </c>
      <c r="F307" t="s">
        <v>16</v>
      </c>
      <c r="G307">
        <v>1</v>
      </c>
      <c r="H307">
        <v>50</v>
      </c>
      <c r="I307">
        <v>50</v>
      </c>
    </row>
    <row r="308" spans="1:9">
      <c r="A308">
        <v>307</v>
      </c>
      <c r="B308" s="1">
        <v>45073</v>
      </c>
      <c r="C308" t="s">
        <v>320</v>
      </c>
      <c r="D308" t="s">
        <v>13</v>
      </c>
      <c r="E308">
        <v>26</v>
      </c>
      <c r="F308" t="s">
        <v>16</v>
      </c>
      <c r="G308">
        <v>2</v>
      </c>
      <c r="H308">
        <v>25</v>
      </c>
      <c r="I308">
        <v>50</v>
      </c>
    </row>
    <row r="309" spans="1:9">
      <c r="A309">
        <v>308</v>
      </c>
      <c r="B309" s="1">
        <v>45143</v>
      </c>
      <c r="C309" t="s">
        <v>321</v>
      </c>
      <c r="D309" t="s">
        <v>13</v>
      </c>
      <c r="E309">
        <v>34</v>
      </c>
      <c r="F309" t="s">
        <v>11</v>
      </c>
      <c r="G309">
        <v>4</v>
      </c>
      <c r="H309">
        <v>300</v>
      </c>
      <c r="I309">
        <v>1200</v>
      </c>
    </row>
    <row r="310" spans="1:9">
      <c r="A310">
        <v>309</v>
      </c>
      <c r="B310" s="1">
        <v>45283</v>
      </c>
      <c r="C310" t="s">
        <v>322</v>
      </c>
      <c r="D310" t="s">
        <v>13</v>
      </c>
      <c r="E310">
        <v>26</v>
      </c>
      <c r="F310" t="s">
        <v>11</v>
      </c>
      <c r="G310">
        <v>1</v>
      </c>
      <c r="H310">
        <v>25</v>
      </c>
      <c r="I310">
        <v>25</v>
      </c>
    </row>
    <row r="311" spans="1:9">
      <c r="A311">
        <v>310</v>
      </c>
      <c r="B311" s="1">
        <v>45211</v>
      </c>
      <c r="C311" t="s">
        <v>323</v>
      </c>
      <c r="D311" t="s">
        <v>13</v>
      </c>
      <c r="E311">
        <v>28</v>
      </c>
      <c r="F311" t="s">
        <v>11</v>
      </c>
      <c r="G311">
        <v>1</v>
      </c>
      <c r="H311">
        <v>25</v>
      </c>
      <c r="I311">
        <v>25</v>
      </c>
    </row>
    <row r="312" spans="1:9">
      <c r="A312">
        <v>311</v>
      </c>
      <c r="B312" s="1">
        <v>45265</v>
      </c>
      <c r="C312" t="s">
        <v>324</v>
      </c>
      <c r="D312" t="s">
        <v>13</v>
      </c>
      <c r="E312">
        <v>32</v>
      </c>
      <c r="F312" t="s">
        <v>11</v>
      </c>
      <c r="G312">
        <v>4</v>
      </c>
      <c r="H312">
        <v>25</v>
      </c>
      <c r="I312">
        <v>100</v>
      </c>
    </row>
    <row r="313" spans="1:9">
      <c r="A313">
        <v>312</v>
      </c>
      <c r="B313" s="1">
        <v>45176</v>
      </c>
      <c r="C313" t="s">
        <v>325</v>
      </c>
      <c r="D313" t="s">
        <v>10</v>
      </c>
      <c r="E313">
        <v>41</v>
      </c>
      <c r="F313" t="s">
        <v>14</v>
      </c>
      <c r="G313">
        <v>4</v>
      </c>
      <c r="H313">
        <v>30</v>
      </c>
      <c r="I313">
        <v>120</v>
      </c>
    </row>
    <row r="314" spans="1:9">
      <c r="A314">
        <v>313</v>
      </c>
      <c r="B314" s="1">
        <v>45006</v>
      </c>
      <c r="C314" t="s">
        <v>326</v>
      </c>
      <c r="D314" t="s">
        <v>13</v>
      </c>
      <c r="E314">
        <v>55</v>
      </c>
      <c r="F314" t="s">
        <v>11</v>
      </c>
      <c r="G314">
        <v>3</v>
      </c>
      <c r="H314">
        <v>500</v>
      </c>
      <c r="I314">
        <v>1500</v>
      </c>
    </row>
    <row r="315" spans="1:9">
      <c r="A315">
        <v>314</v>
      </c>
      <c r="B315" s="1">
        <v>45024</v>
      </c>
      <c r="C315" t="s">
        <v>327</v>
      </c>
      <c r="D315" t="s">
        <v>10</v>
      </c>
      <c r="E315">
        <v>52</v>
      </c>
      <c r="F315" t="s">
        <v>14</v>
      </c>
      <c r="G315">
        <v>4</v>
      </c>
      <c r="H315">
        <v>30</v>
      </c>
      <c r="I315">
        <v>120</v>
      </c>
    </row>
    <row r="316" spans="1:9">
      <c r="A316">
        <v>315</v>
      </c>
      <c r="B316" s="1">
        <v>45078</v>
      </c>
      <c r="C316" t="s">
        <v>328</v>
      </c>
      <c r="D316" t="s">
        <v>10</v>
      </c>
      <c r="E316">
        <v>47</v>
      </c>
      <c r="F316" t="s">
        <v>14</v>
      </c>
      <c r="G316">
        <v>2</v>
      </c>
      <c r="H316">
        <v>30</v>
      </c>
      <c r="I316">
        <v>60</v>
      </c>
    </row>
    <row r="317" spans="1:9">
      <c r="A317">
        <v>316</v>
      </c>
      <c r="B317" s="1">
        <v>45038</v>
      </c>
      <c r="C317" t="s">
        <v>329</v>
      </c>
      <c r="D317" t="s">
        <v>13</v>
      </c>
      <c r="E317">
        <v>48</v>
      </c>
      <c r="F317" t="s">
        <v>14</v>
      </c>
      <c r="G317">
        <v>2</v>
      </c>
      <c r="H317">
        <v>25</v>
      </c>
      <c r="I317">
        <v>50</v>
      </c>
    </row>
    <row r="318" spans="1:9">
      <c r="A318">
        <v>317</v>
      </c>
      <c r="B318" s="1">
        <v>44956</v>
      </c>
      <c r="C318" t="s">
        <v>330</v>
      </c>
      <c r="D318" t="s">
        <v>10</v>
      </c>
      <c r="E318">
        <v>22</v>
      </c>
      <c r="F318" t="s">
        <v>16</v>
      </c>
      <c r="G318">
        <v>3</v>
      </c>
      <c r="H318">
        <v>30</v>
      </c>
      <c r="I318">
        <v>90</v>
      </c>
    </row>
    <row r="319" spans="1:9">
      <c r="A319">
        <v>318</v>
      </c>
      <c r="B319" s="1">
        <v>45223</v>
      </c>
      <c r="C319" t="s">
        <v>331</v>
      </c>
      <c r="D319" t="s">
        <v>10</v>
      </c>
      <c r="E319">
        <v>61</v>
      </c>
      <c r="F319" t="s">
        <v>14</v>
      </c>
      <c r="G319">
        <v>1</v>
      </c>
      <c r="H319">
        <v>25</v>
      </c>
      <c r="I319">
        <v>25</v>
      </c>
    </row>
    <row r="320" spans="1:9">
      <c r="A320">
        <v>319</v>
      </c>
      <c r="B320" s="1">
        <v>45204</v>
      </c>
      <c r="C320" t="s">
        <v>332</v>
      </c>
      <c r="D320" t="s">
        <v>10</v>
      </c>
      <c r="E320">
        <v>31</v>
      </c>
      <c r="F320" t="s">
        <v>14</v>
      </c>
      <c r="G320">
        <v>1</v>
      </c>
      <c r="H320">
        <v>500</v>
      </c>
      <c r="I320">
        <v>500</v>
      </c>
    </row>
    <row r="321" spans="1:9">
      <c r="A321">
        <v>320</v>
      </c>
      <c r="B321" s="1">
        <v>44958</v>
      </c>
      <c r="C321" t="s">
        <v>333</v>
      </c>
      <c r="D321" t="s">
        <v>13</v>
      </c>
      <c r="E321">
        <v>28</v>
      </c>
      <c r="F321" t="s">
        <v>16</v>
      </c>
      <c r="G321">
        <v>4</v>
      </c>
      <c r="H321">
        <v>300</v>
      </c>
      <c r="I321">
        <v>1200</v>
      </c>
    </row>
    <row r="322" spans="1:9">
      <c r="A322">
        <v>321</v>
      </c>
      <c r="B322" s="1">
        <v>45087</v>
      </c>
      <c r="C322" t="s">
        <v>334</v>
      </c>
      <c r="D322" t="s">
        <v>13</v>
      </c>
      <c r="E322">
        <v>26</v>
      </c>
      <c r="F322" t="s">
        <v>16</v>
      </c>
      <c r="G322">
        <v>2</v>
      </c>
      <c r="H322">
        <v>25</v>
      </c>
      <c r="I322">
        <v>50</v>
      </c>
    </row>
    <row r="323" spans="1:9">
      <c r="A323">
        <v>322</v>
      </c>
      <c r="B323" s="1">
        <v>44956</v>
      </c>
      <c r="C323" t="s">
        <v>335</v>
      </c>
      <c r="D323" t="s">
        <v>10</v>
      </c>
      <c r="E323">
        <v>51</v>
      </c>
      <c r="F323" t="s">
        <v>16</v>
      </c>
      <c r="G323">
        <v>1</v>
      </c>
      <c r="H323">
        <v>500</v>
      </c>
      <c r="I323">
        <v>500</v>
      </c>
    </row>
    <row r="324" spans="1:9">
      <c r="A324">
        <v>323</v>
      </c>
      <c r="B324" s="1">
        <v>44952</v>
      </c>
      <c r="C324" t="s">
        <v>336</v>
      </c>
      <c r="D324" t="s">
        <v>13</v>
      </c>
      <c r="E324">
        <v>29</v>
      </c>
      <c r="F324" t="s">
        <v>11</v>
      </c>
      <c r="G324">
        <v>3</v>
      </c>
      <c r="H324">
        <v>300</v>
      </c>
      <c r="I324">
        <v>900</v>
      </c>
    </row>
    <row r="325" spans="1:9">
      <c r="A325">
        <v>324</v>
      </c>
      <c r="B325" s="1">
        <v>45226</v>
      </c>
      <c r="C325" t="s">
        <v>337</v>
      </c>
      <c r="D325" t="s">
        <v>13</v>
      </c>
      <c r="E325">
        <v>52</v>
      </c>
      <c r="F325" t="s">
        <v>16</v>
      </c>
      <c r="G325">
        <v>3</v>
      </c>
      <c r="H325">
        <v>50</v>
      </c>
      <c r="I325">
        <v>150</v>
      </c>
    </row>
    <row r="326" spans="1:9">
      <c r="A326">
        <v>325</v>
      </c>
      <c r="B326" s="1">
        <v>45171</v>
      </c>
      <c r="C326" t="s">
        <v>338</v>
      </c>
      <c r="D326" t="s">
        <v>13</v>
      </c>
      <c r="E326">
        <v>52</v>
      </c>
      <c r="F326" t="s">
        <v>16</v>
      </c>
      <c r="G326">
        <v>2</v>
      </c>
      <c r="H326">
        <v>25</v>
      </c>
      <c r="I326">
        <v>50</v>
      </c>
    </row>
    <row r="327" spans="1:9">
      <c r="A327">
        <v>326</v>
      </c>
      <c r="B327" s="1">
        <v>45184</v>
      </c>
      <c r="C327" t="s">
        <v>339</v>
      </c>
      <c r="D327" t="s">
        <v>13</v>
      </c>
      <c r="E327">
        <v>18</v>
      </c>
      <c r="F327" t="s">
        <v>14</v>
      </c>
      <c r="G327">
        <v>3</v>
      </c>
      <c r="H327">
        <v>25</v>
      </c>
      <c r="I327">
        <v>75</v>
      </c>
    </row>
    <row r="328" spans="1:9">
      <c r="A328">
        <v>327</v>
      </c>
      <c r="B328" s="1">
        <v>45198</v>
      </c>
      <c r="C328" t="s">
        <v>340</v>
      </c>
      <c r="D328" t="s">
        <v>10</v>
      </c>
      <c r="E328">
        <v>57</v>
      </c>
      <c r="F328" t="s">
        <v>16</v>
      </c>
      <c r="G328">
        <v>3</v>
      </c>
      <c r="H328">
        <v>50</v>
      </c>
      <c r="I328">
        <v>150</v>
      </c>
    </row>
    <row r="329" spans="1:9">
      <c r="A329">
        <v>328</v>
      </c>
      <c r="B329" s="1">
        <v>45007</v>
      </c>
      <c r="C329" t="s">
        <v>341</v>
      </c>
      <c r="D329" t="s">
        <v>10</v>
      </c>
      <c r="E329">
        <v>39</v>
      </c>
      <c r="F329" t="s">
        <v>11</v>
      </c>
      <c r="G329">
        <v>2</v>
      </c>
      <c r="H329">
        <v>50</v>
      </c>
      <c r="I329">
        <v>100</v>
      </c>
    </row>
    <row r="330" spans="1:9">
      <c r="A330">
        <v>329</v>
      </c>
      <c r="B330" s="1">
        <v>44956</v>
      </c>
      <c r="C330" t="s">
        <v>342</v>
      </c>
      <c r="D330" t="s">
        <v>13</v>
      </c>
      <c r="E330">
        <v>46</v>
      </c>
      <c r="F330" t="s">
        <v>16</v>
      </c>
      <c r="G330">
        <v>4</v>
      </c>
      <c r="H330">
        <v>25</v>
      </c>
      <c r="I330">
        <v>100</v>
      </c>
    </row>
    <row r="331" spans="1:9">
      <c r="A331">
        <v>330</v>
      </c>
      <c r="B331" s="1">
        <v>45187</v>
      </c>
      <c r="C331" t="s">
        <v>343</v>
      </c>
      <c r="D331" t="s">
        <v>13</v>
      </c>
      <c r="E331">
        <v>25</v>
      </c>
      <c r="F331" t="s">
        <v>11</v>
      </c>
      <c r="G331">
        <v>4</v>
      </c>
      <c r="H331">
        <v>50</v>
      </c>
      <c r="I331">
        <v>200</v>
      </c>
    </row>
    <row r="332" spans="1:9">
      <c r="A332">
        <v>331</v>
      </c>
      <c r="B332" s="1">
        <v>44968</v>
      </c>
      <c r="C332" t="s">
        <v>344</v>
      </c>
      <c r="D332" t="s">
        <v>10</v>
      </c>
      <c r="E332">
        <v>28</v>
      </c>
      <c r="F332" t="s">
        <v>16</v>
      </c>
      <c r="G332">
        <v>3</v>
      </c>
      <c r="H332">
        <v>30</v>
      </c>
      <c r="I332">
        <v>90</v>
      </c>
    </row>
    <row r="333" spans="1:9">
      <c r="A333">
        <v>332</v>
      </c>
      <c r="B333" s="1">
        <v>45022</v>
      </c>
      <c r="C333" t="s">
        <v>345</v>
      </c>
      <c r="D333" t="s">
        <v>10</v>
      </c>
      <c r="E333">
        <v>58</v>
      </c>
      <c r="F333" t="s">
        <v>16</v>
      </c>
      <c r="G333">
        <v>4</v>
      </c>
      <c r="H333">
        <v>300</v>
      </c>
      <c r="I333">
        <v>1200</v>
      </c>
    </row>
    <row r="334" spans="1:9">
      <c r="A334">
        <v>333</v>
      </c>
      <c r="B334" s="1">
        <v>44962</v>
      </c>
      <c r="C334" t="s">
        <v>346</v>
      </c>
      <c r="D334" t="s">
        <v>13</v>
      </c>
      <c r="E334">
        <v>54</v>
      </c>
      <c r="F334" t="s">
        <v>16</v>
      </c>
      <c r="G334">
        <v>4</v>
      </c>
      <c r="H334">
        <v>300</v>
      </c>
      <c r="I334">
        <v>1200</v>
      </c>
    </row>
    <row r="335" spans="1:9">
      <c r="A335">
        <v>334</v>
      </c>
      <c r="B335" s="1">
        <v>45231</v>
      </c>
      <c r="C335" t="s">
        <v>347</v>
      </c>
      <c r="D335" t="s">
        <v>10</v>
      </c>
      <c r="E335">
        <v>31</v>
      </c>
      <c r="F335" t="s">
        <v>16</v>
      </c>
      <c r="G335">
        <v>3</v>
      </c>
      <c r="H335">
        <v>300</v>
      </c>
      <c r="I335">
        <v>900</v>
      </c>
    </row>
    <row r="336" spans="1:9">
      <c r="A336">
        <v>335</v>
      </c>
      <c r="B336" s="1">
        <v>44961</v>
      </c>
      <c r="C336" t="s">
        <v>348</v>
      </c>
      <c r="D336" t="s">
        <v>13</v>
      </c>
      <c r="E336">
        <v>47</v>
      </c>
      <c r="F336" t="s">
        <v>11</v>
      </c>
      <c r="G336">
        <v>4</v>
      </c>
      <c r="H336">
        <v>30</v>
      </c>
      <c r="I336">
        <v>120</v>
      </c>
    </row>
    <row r="337" spans="1:9">
      <c r="A337">
        <v>336</v>
      </c>
      <c r="B337" s="1">
        <v>45272</v>
      </c>
      <c r="C337" t="s">
        <v>349</v>
      </c>
      <c r="D337" t="s">
        <v>13</v>
      </c>
      <c r="E337">
        <v>52</v>
      </c>
      <c r="F337" t="s">
        <v>11</v>
      </c>
      <c r="G337">
        <v>3</v>
      </c>
      <c r="H337">
        <v>50</v>
      </c>
      <c r="I337">
        <v>150</v>
      </c>
    </row>
    <row r="338" spans="1:9">
      <c r="A338">
        <v>337</v>
      </c>
      <c r="B338" s="1">
        <v>45047</v>
      </c>
      <c r="C338" t="s">
        <v>350</v>
      </c>
      <c r="D338" t="s">
        <v>10</v>
      </c>
      <c r="E338">
        <v>38</v>
      </c>
      <c r="F338" t="s">
        <v>14</v>
      </c>
      <c r="G338">
        <v>1</v>
      </c>
      <c r="H338">
        <v>500</v>
      </c>
      <c r="I338">
        <v>500</v>
      </c>
    </row>
    <row r="339" spans="1:9">
      <c r="A339">
        <v>338</v>
      </c>
      <c r="B339" s="1">
        <v>45133</v>
      </c>
      <c r="C339" t="s">
        <v>351</v>
      </c>
      <c r="D339" t="s">
        <v>10</v>
      </c>
      <c r="E339">
        <v>54</v>
      </c>
      <c r="F339" t="s">
        <v>11</v>
      </c>
      <c r="G339">
        <v>2</v>
      </c>
      <c r="H339">
        <v>50</v>
      </c>
      <c r="I339">
        <v>100</v>
      </c>
    </row>
    <row r="340" spans="1:9">
      <c r="A340">
        <v>339</v>
      </c>
      <c r="B340" s="1">
        <v>44988</v>
      </c>
      <c r="C340" t="s">
        <v>352</v>
      </c>
      <c r="D340" t="s">
        <v>13</v>
      </c>
      <c r="E340">
        <v>22</v>
      </c>
      <c r="F340" t="s">
        <v>16</v>
      </c>
      <c r="G340">
        <v>2</v>
      </c>
      <c r="H340">
        <v>25</v>
      </c>
      <c r="I340">
        <v>50</v>
      </c>
    </row>
    <row r="341" spans="1:9">
      <c r="A341">
        <v>340</v>
      </c>
      <c r="B341" s="1">
        <v>45218</v>
      </c>
      <c r="C341" t="s">
        <v>353</v>
      </c>
      <c r="D341" t="s">
        <v>13</v>
      </c>
      <c r="E341">
        <v>36</v>
      </c>
      <c r="F341" t="s">
        <v>14</v>
      </c>
      <c r="G341">
        <v>4</v>
      </c>
      <c r="H341">
        <v>300</v>
      </c>
      <c r="I341">
        <v>1200</v>
      </c>
    </row>
    <row r="342" spans="1:9">
      <c r="A342">
        <v>341</v>
      </c>
      <c r="B342" s="1">
        <v>45053</v>
      </c>
      <c r="C342" t="s">
        <v>354</v>
      </c>
      <c r="D342" t="s">
        <v>10</v>
      </c>
      <c r="E342">
        <v>31</v>
      </c>
      <c r="F342" t="s">
        <v>14</v>
      </c>
      <c r="G342">
        <v>4</v>
      </c>
      <c r="H342">
        <v>50</v>
      </c>
      <c r="I342">
        <v>200</v>
      </c>
    </row>
    <row r="343" spans="1:9">
      <c r="A343">
        <v>342</v>
      </c>
      <c r="B343" s="1">
        <v>45223</v>
      </c>
      <c r="C343" t="s">
        <v>355</v>
      </c>
      <c r="D343" t="s">
        <v>13</v>
      </c>
      <c r="E343">
        <v>43</v>
      </c>
      <c r="F343" t="s">
        <v>14</v>
      </c>
      <c r="G343">
        <v>4</v>
      </c>
      <c r="H343">
        <v>500</v>
      </c>
      <c r="I343">
        <v>2000</v>
      </c>
    </row>
    <row r="344" spans="1:9">
      <c r="A344">
        <v>343</v>
      </c>
      <c r="B344" s="1">
        <v>45231</v>
      </c>
      <c r="C344" t="s">
        <v>356</v>
      </c>
      <c r="D344" t="s">
        <v>10</v>
      </c>
      <c r="E344">
        <v>21</v>
      </c>
      <c r="F344" t="s">
        <v>16</v>
      </c>
      <c r="G344">
        <v>2</v>
      </c>
      <c r="H344">
        <v>25</v>
      </c>
      <c r="I344">
        <v>50</v>
      </c>
    </row>
    <row r="345" spans="1:9">
      <c r="A345">
        <v>344</v>
      </c>
      <c r="B345" s="1">
        <v>44947</v>
      </c>
      <c r="C345" t="s">
        <v>357</v>
      </c>
      <c r="D345" t="s">
        <v>13</v>
      </c>
      <c r="E345">
        <v>42</v>
      </c>
      <c r="F345" t="s">
        <v>11</v>
      </c>
      <c r="G345">
        <v>1</v>
      </c>
      <c r="H345">
        <v>30</v>
      </c>
      <c r="I345">
        <v>30</v>
      </c>
    </row>
    <row r="346" spans="1:9">
      <c r="A346">
        <v>345</v>
      </c>
      <c r="B346" s="1">
        <v>45244</v>
      </c>
      <c r="C346" t="s">
        <v>358</v>
      </c>
      <c r="D346" t="s">
        <v>10</v>
      </c>
      <c r="E346">
        <v>62</v>
      </c>
      <c r="F346" t="s">
        <v>16</v>
      </c>
      <c r="G346">
        <v>1</v>
      </c>
      <c r="H346">
        <v>30</v>
      </c>
      <c r="I346">
        <v>30</v>
      </c>
    </row>
    <row r="347" spans="1:9">
      <c r="A347">
        <v>346</v>
      </c>
      <c r="B347" s="1">
        <v>44968</v>
      </c>
      <c r="C347" t="s">
        <v>359</v>
      </c>
      <c r="D347" t="s">
        <v>10</v>
      </c>
      <c r="E347">
        <v>59</v>
      </c>
      <c r="F347" t="s">
        <v>14</v>
      </c>
      <c r="G347">
        <v>2</v>
      </c>
      <c r="H347">
        <v>500</v>
      </c>
      <c r="I347">
        <v>1000</v>
      </c>
    </row>
    <row r="348" spans="1:9">
      <c r="A348">
        <v>347</v>
      </c>
      <c r="B348" s="1">
        <v>45141</v>
      </c>
      <c r="C348" t="s">
        <v>360</v>
      </c>
      <c r="D348" t="s">
        <v>10</v>
      </c>
      <c r="E348">
        <v>42</v>
      </c>
      <c r="F348" t="s">
        <v>16</v>
      </c>
      <c r="G348">
        <v>1</v>
      </c>
      <c r="H348">
        <v>25</v>
      </c>
      <c r="I348">
        <v>25</v>
      </c>
    </row>
    <row r="349" spans="1:9">
      <c r="A349">
        <v>348</v>
      </c>
      <c r="B349" s="1">
        <v>45263</v>
      </c>
      <c r="C349" t="s">
        <v>361</v>
      </c>
      <c r="D349" t="s">
        <v>13</v>
      </c>
      <c r="E349">
        <v>35</v>
      </c>
      <c r="F349" t="s">
        <v>16</v>
      </c>
      <c r="G349">
        <v>2</v>
      </c>
      <c r="H349">
        <v>300</v>
      </c>
      <c r="I349">
        <v>600</v>
      </c>
    </row>
    <row r="350" spans="1:9">
      <c r="A350">
        <v>349</v>
      </c>
      <c r="B350" s="1">
        <v>45225</v>
      </c>
      <c r="C350" t="s">
        <v>362</v>
      </c>
      <c r="D350" t="s">
        <v>13</v>
      </c>
      <c r="E350">
        <v>57</v>
      </c>
      <c r="F350" t="s">
        <v>11</v>
      </c>
      <c r="G350">
        <v>1</v>
      </c>
      <c r="H350">
        <v>50</v>
      </c>
      <c r="I350">
        <v>50</v>
      </c>
    </row>
    <row r="351" spans="1:9">
      <c r="A351">
        <v>350</v>
      </c>
      <c r="B351" s="1">
        <v>45216</v>
      </c>
      <c r="C351" t="s">
        <v>363</v>
      </c>
      <c r="D351" t="s">
        <v>10</v>
      </c>
      <c r="E351">
        <v>25</v>
      </c>
      <c r="F351" t="s">
        <v>11</v>
      </c>
      <c r="G351">
        <v>3</v>
      </c>
      <c r="H351">
        <v>25</v>
      </c>
      <c r="I351">
        <v>75</v>
      </c>
    </row>
    <row r="352" spans="1:9">
      <c r="A352">
        <v>351</v>
      </c>
      <c r="B352" s="1">
        <v>45194</v>
      </c>
      <c r="C352" t="s">
        <v>364</v>
      </c>
      <c r="D352" t="s">
        <v>13</v>
      </c>
      <c r="E352">
        <v>56</v>
      </c>
      <c r="F352" t="s">
        <v>14</v>
      </c>
      <c r="G352">
        <v>3</v>
      </c>
      <c r="H352">
        <v>30</v>
      </c>
      <c r="I352">
        <v>90</v>
      </c>
    </row>
    <row r="353" spans="1:9">
      <c r="A353">
        <v>352</v>
      </c>
      <c r="B353" s="1">
        <v>45088</v>
      </c>
      <c r="C353" t="s">
        <v>365</v>
      </c>
      <c r="D353" t="s">
        <v>10</v>
      </c>
      <c r="E353">
        <v>57</v>
      </c>
      <c r="F353" t="s">
        <v>16</v>
      </c>
      <c r="G353">
        <v>2</v>
      </c>
      <c r="H353">
        <v>500</v>
      </c>
      <c r="I353">
        <v>1000</v>
      </c>
    </row>
    <row r="354" spans="1:9">
      <c r="A354">
        <v>353</v>
      </c>
      <c r="B354" s="1">
        <v>45060</v>
      </c>
      <c r="C354" t="s">
        <v>366</v>
      </c>
      <c r="D354" t="s">
        <v>10</v>
      </c>
      <c r="E354">
        <v>31</v>
      </c>
      <c r="F354" t="s">
        <v>16</v>
      </c>
      <c r="G354">
        <v>1</v>
      </c>
      <c r="H354">
        <v>500</v>
      </c>
      <c r="I354">
        <v>500</v>
      </c>
    </row>
    <row r="355" spans="1:9">
      <c r="A355">
        <v>354</v>
      </c>
      <c r="B355" s="1">
        <v>45031</v>
      </c>
      <c r="C355" t="s">
        <v>367</v>
      </c>
      <c r="D355" t="s">
        <v>13</v>
      </c>
      <c r="E355">
        <v>49</v>
      </c>
      <c r="F355" t="s">
        <v>11</v>
      </c>
      <c r="G355">
        <v>4</v>
      </c>
      <c r="H355">
        <v>50</v>
      </c>
      <c r="I355">
        <v>200</v>
      </c>
    </row>
    <row r="356" spans="1:9">
      <c r="A356">
        <v>355</v>
      </c>
      <c r="B356" s="1">
        <v>45269</v>
      </c>
      <c r="C356" t="s">
        <v>368</v>
      </c>
      <c r="D356" t="s">
        <v>13</v>
      </c>
      <c r="E356">
        <v>55</v>
      </c>
      <c r="F356" t="s">
        <v>16</v>
      </c>
      <c r="G356">
        <v>1</v>
      </c>
      <c r="H356">
        <v>500</v>
      </c>
      <c r="I356">
        <v>500</v>
      </c>
    </row>
    <row r="357" spans="1:9">
      <c r="A357">
        <v>356</v>
      </c>
      <c r="B357" s="1">
        <v>45087</v>
      </c>
      <c r="C357" t="s">
        <v>369</v>
      </c>
      <c r="D357" t="s">
        <v>10</v>
      </c>
      <c r="E357">
        <v>50</v>
      </c>
      <c r="F357" t="s">
        <v>16</v>
      </c>
      <c r="G357">
        <v>3</v>
      </c>
      <c r="H357">
        <v>500</v>
      </c>
      <c r="I357">
        <v>1500</v>
      </c>
    </row>
    <row r="358" spans="1:9">
      <c r="A358">
        <v>357</v>
      </c>
      <c r="B358" s="1">
        <v>45049</v>
      </c>
      <c r="C358" t="s">
        <v>370</v>
      </c>
      <c r="D358" t="s">
        <v>13</v>
      </c>
      <c r="E358">
        <v>40</v>
      </c>
      <c r="F358" t="s">
        <v>16</v>
      </c>
      <c r="G358">
        <v>3</v>
      </c>
      <c r="H358">
        <v>25</v>
      </c>
      <c r="I358">
        <v>75</v>
      </c>
    </row>
    <row r="359" spans="1:9">
      <c r="A359">
        <v>358</v>
      </c>
      <c r="B359" s="1">
        <v>45062</v>
      </c>
      <c r="C359" t="s">
        <v>371</v>
      </c>
      <c r="D359" t="s">
        <v>13</v>
      </c>
      <c r="E359">
        <v>32</v>
      </c>
      <c r="F359" t="s">
        <v>11</v>
      </c>
      <c r="G359">
        <v>1</v>
      </c>
      <c r="H359">
        <v>300</v>
      </c>
      <c r="I359">
        <v>300</v>
      </c>
    </row>
    <row r="360" spans="1:9">
      <c r="A360">
        <v>359</v>
      </c>
      <c r="B360" s="1">
        <v>45129</v>
      </c>
      <c r="C360" t="s">
        <v>372</v>
      </c>
      <c r="D360" t="s">
        <v>10</v>
      </c>
      <c r="E360">
        <v>50</v>
      </c>
      <c r="F360" t="s">
        <v>14</v>
      </c>
      <c r="G360">
        <v>1</v>
      </c>
      <c r="H360">
        <v>50</v>
      </c>
      <c r="I360">
        <v>50</v>
      </c>
    </row>
    <row r="361" spans="1:9">
      <c r="A361">
        <v>360</v>
      </c>
      <c r="B361" s="1">
        <v>44994</v>
      </c>
      <c r="C361" t="s">
        <v>373</v>
      </c>
      <c r="D361" t="s">
        <v>10</v>
      </c>
      <c r="E361">
        <v>42</v>
      </c>
      <c r="F361" t="s">
        <v>14</v>
      </c>
      <c r="G361">
        <v>4</v>
      </c>
      <c r="H361">
        <v>25</v>
      </c>
      <c r="I361">
        <v>100</v>
      </c>
    </row>
    <row r="362" spans="1:9">
      <c r="A362">
        <v>361</v>
      </c>
      <c r="B362" s="1">
        <v>45270</v>
      </c>
      <c r="C362" t="s">
        <v>374</v>
      </c>
      <c r="D362" t="s">
        <v>13</v>
      </c>
      <c r="E362">
        <v>34</v>
      </c>
      <c r="F362" t="s">
        <v>16</v>
      </c>
      <c r="G362">
        <v>4</v>
      </c>
      <c r="H362">
        <v>300</v>
      </c>
      <c r="I362">
        <v>1200</v>
      </c>
    </row>
    <row r="363" spans="1:9">
      <c r="A363">
        <v>362</v>
      </c>
      <c r="B363" s="1">
        <v>45257</v>
      </c>
      <c r="C363" t="s">
        <v>375</v>
      </c>
      <c r="D363" t="s">
        <v>10</v>
      </c>
      <c r="E363">
        <v>50</v>
      </c>
      <c r="F363" t="s">
        <v>14</v>
      </c>
      <c r="G363">
        <v>1</v>
      </c>
      <c r="H363">
        <v>25</v>
      </c>
      <c r="I363">
        <v>25</v>
      </c>
    </row>
    <row r="364" spans="1:9">
      <c r="A364">
        <v>363</v>
      </c>
      <c r="B364" s="1">
        <v>45080</v>
      </c>
      <c r="C364" t="s">
        <v>376</v>
      </c>
      <c r="D364" t="s">
        <v>10</v>
      </c>
      <c r="E364">
        <v>64</v>
      </c>
      <c r="F364" t="s">
        <v>11</v>
      </c>
      <c r="G364">
        <v>1</v>
      </c>
      <c r="H364">
        <v>25</v>
      </c>
      <c r="I364">
        <v>25</v>
      </c>
    </row>
    <row r="365" spans="1:9">
      <c r="A365">
        <v>364</v>
      </c>
      <c r="B365" s="1">
        <v>45161</v>
      </c>
      <c r="C365" t="s">
        <v>377</v>
      </c>
      <c r="D365" t="s">
        <v>13</v>
      </c>
      <c r="E365">
        <v>19</v>
      </c>
      <c r="F365" t="s">
        <v>11</v>
      </c>
      <c r="G365">
        <v>1</v>
      </c>
      <c r="H365">
        <v>500</v>
      </c>
      <c r="I365">
        <v>500</v>
      </c>
    </row>
    <row r="366" spans="1:9">
      <c r="A366">
        <v>365</v>
      </c>
      <c r="B366" s="1">
        <v>45088</v>
      </c>
      <c r="C366" t="s">
        <v>378</v>
      </c>
      <c r="D366" t="s">
        <v>10</v>
      </c>
      <c r="E366">
        <v>31</v>
      </c>
      <c r="F366" t="s">
        <v>14</v>
      </c>
      <c r="G366">
        <v>1</v>
      </c>
      <c r="H366">
        <v>300</v>
      </c>
      <c r="I366">
        <v>300</v>
      </c>
    </row>
    <row r="367" spans="1:9">
      <c r="A367">
        <v>366</v>
      </c>
      <c r="B367" s="1">
        <v>44964</v>
      </c>
      <c r="C367" t="s">
        <v>379</v>
      </c>
      <c r="D367" t="s">
        <v>10</v>
      </c>
      <c r="E367">
        <v>57</v>
      </c>
      <c r="F367" t="s">
        <v>14</v>
      </c>
      <c r="G367">
        <v>2</v>
      </c>
      <c r="H367">
        <v>50</v>
      </c>
      <c r="I367">
        <v>100</v>
      </c>
    </row>
    <row r="368" spans="1:9">
      <c r="A368">
        <v>367</v>
      </c>
      <c r="B368" s="1">
        <v>44931</v>
      </c>
      <c r="C368" t="s">
        <v>380</v>
      </c>
      <c r="D368" t="s">
        <v>13</v>
      </c>
      <c r="E368">
        <v>57</v>
      </c>
      <c r="F368" t="s">
        <v>16</v>
      </c>
      <c r="G368">
        <v>1</v>
      </c>
      <c r="H368">
        <v>50</v>
      </c>
      <c r="I368">
        <v>50</v>
      </c>
    </row>
    <row r="369" spans="1:9">
      <c r="A369">
        <v>368</v>
      </c>
      <c r="B369" s="1">
        <v>45161</v>
      </c>
      <c r="C369" t="s">
        <v>381</v>
      </c>
      <c r="D369" t="s">
        <v>13</v>
      </c>
      <c r="E369">
        <v>56</v>
      </c>
      <c r="F369" t="s">
        <v>14</v>
      </c>
      <c r="G369">
        <v>4</v>
      </c>
      <c r="H369">
        <v>300</v>
      </c>
      <c r="I369">
        <v>1200</v>
      </c>
    </row>
    <row r="370" spans="1:9">
      <c r="A370">
        <v>369</v>
      </c>
      <c r="B370" s="1">
        <v>45245</v>
      </c>
      <c r="C370" t="s">
        <v>382</v>
      </c>
      <c r="D370" t="s">
        <v>10</v>
      </c>
      <c r="E370">
        <v>23</v>
      </c>
      <c r="F370" t="s">
        <v>16</v>
      </c>
      <c r="G370">
        <v>3</v>
      </c>
      <c r="H370">
        <v>500</v>
      </c>
      <c r="I370">
        <v>1500</v>
      </c>
    </row>
    <row r="371" spans="1:9">
      <c r="A371">
        <v>370</v>
      </c>
      <c r="B371" s="1">
        <v>45215</v>
      </c>
      <c r="C371" t="s">
        <v>383</v>
      </c>
      <c r="D371" t="s">
        <v>10</v>
      </c>
      <c r="E371">
        <v>23</v>
      </c>
      <c r="F371" t="s">
        <v>16</v>
      </c>
      <c r="G371">
        <v>2</v>
      </c>
      <c r="H371">
        <v>30</v>
      </c>
      <c r="I371">
        <v>60</v>
      </c>
    </row>
    <row r="372" spans="1:9">
      <c r="A372">
        <v>371</v>
      </c>
      <c r="B372" s="1">
        <v>44978</v>
      </c>
      <c r="C372" t="s">
        <v>384</v>
      </c>
      <c r="D372" t="s">
        <v>13</v>
      </c>
      <c r="E372">
        <v>20</v>
      </c>
      <c r="F372" t="s">
        <v>11</v>
      </c>
      <c r="G372">
        <v>1</v>
      </c>
      <c r="H372">
        <v>25</v>
      </c>
      <c r="I372">
        <v>25</v>
      </c>
    </row>
    <row r="373" spans="1:9">
      <c r="A373">
        <v>372</v>
      </c>
      <c r="B373" s="1">
        <v>44964</v>
      </c>
      <c r="C373" t="s">
        <v>385</v>
      </c>
      <c r="D373" t="s">
        <v>13</v>
      </c>
      <c r="E373">
        <v>24</v>
      </c>
      <c r="F373" t="s">
        <v>11</v>
      </c>
      <c r="G373">
        <v>3</v>
      </c>
      <c r="H373">
        <v>500</v>
      </c>
      <c r="I373">
        <v>1500</v>
      </c>
    </row>
    <row r="374" spans="1:9">
      <c r="A374">
        <v>373</v>
      </c>
      <c r="B374" s="1">
        <v>45202</v>
      </c>
      <c r="C374" t="s">
        <v>386</v>
      </c>
      <c r="D374" t="s">
        <v>13</v>
      </c>
      <c r="E374">
        <v>25</v>
      </c>
      <c r="F374" t="s">
        <v>11</v>
      </c>
      <c r="G374">
        <v>2</v>
      </c>
      <c r="H374">
        <v>300</v>
      </c>
      <c r="I374">
        <v>600</v>
      </c>
    </row>
    <row r="375" spans="1:9">
      <c r="A375">
        <v>374</v>
      </c>
      <c r="B375" s="1">
        <v>45036</v>
      </c>
      <c r="C375" t="s">
        <v>387</v>
      </c>
      <c r="D375" t="s">
        <v>13</v>
      </c>
      <c r="E375">
        <v>59</v>
      </c>
      <c r="F375" t="s">
        <v>11</v>
      </c>
      <c r="G375">
        <v>3</v>
      </c>
      <c r="H375">
        <v>25</v>
      </c>
      <c r="I375">
        <v>75</v>
      </c>
    </row>
    <row r="376" spans="1:9">
      <c r="A376">
        <v>375</v>
      </c>
      <c r="B376" s="1">
        <v>45186</v>
      </c>
      <c r="C376" t="s">
        <v>388</v>
      </c>
      <c r="D376" t="s">
        <v>10</v>
      </c>
      <c r="E376">
        <v>32</v>
      </c>
      <c r="F376" t="s">
        <v>14</v>
      </c>
      <c r="G376">
        <v>1</v>
      </c>
      <c r="H376">
        <v>50</v>
      </c>
      <c r="I376">
        <v>50</v>
      </c>
    </row>
    <row r="377" spans="1:9">
      <c r="A377">
        <v>376</v>
      </c>
      <c r="B377" s="1">
        <v>45062</v>
      </c>
      <c r="C377" t="s">
        <v>389</v>
      </c>
      <c r="D377" t="s">
        <v>13</v>
      </c>
      <c r="E377">
        <v>64</v>
      </c>
      <c r="F377" t="s">
        <v>11</v>
      </c>
      <c r="G377">
        <v>1</v>
      </c>
      <c r="H377">
        <v>30</v>
      </c>
      <c r="I377">
        <v>30</v>
      </c>
    </row>
    <row r="378" spans="1:9">
      <c r="A378">
        <v>377</v>
      </c>
      <c r="B378" s="1">
        <v>44994</v>
      </c>
      <c r="C378" t="s">
        <v>390</v>
      </c>
      <c r="D378" t="s">
        <v>13</v>
      </c>
      <c r="E378">
        <v>46</v>
      </c>
      <c r="F378" t="s">
        <v>14</v>
      </c>
      <c r="G378">
        <v>4</v>
      </c>
      <c r="H378">
        <v>50</v>
      </c>
      <c r="I378">
        <v>200</v>
      </c>
    </row>
    <row r="379" spans="1:9">
      <c r="A379">
        <v>378</v>
      </c>
      <c r="B379" s="1">
        <v>45105</v>
      </c>
      <c r="C379" t="s">
        <v>391</v>
      </c>
      <c r="D379" t="s">
        <v>10</v>
      </c>
      <c r="E379">
        <v>50</v>
      </c>
      <c r="F379" t="s">
        <v>11</v>
      </c>
      <c r="G379">
        <v>1</v>
      </c>
      <c r="H379">
        <v>300</v>
      </c>
      <c r="I379">
        <v>300</v>
      </c>
    </row>
    <row r="380" spans="1:9">
      <c r="A380">
        <v>379</v>
      </c>
      <c r="B380" s="1">
        <v>44962</v>
      </c>
      <c r="C380" t="s">
        <v>392</v>
      </c>
      <c r="D380" t="s">
        <v>13</v>
      </c>
      <c r="E380">
        <v>47</v>
      </c>
      <c r="F380" t="s">
        <v>14</v>
      </c>
      <c r="G380">
        <v>1</v>
      </c>
      <c r="H380">
        <v>25</v>
      </c>
      <c r="I380">
        <v>25</v>
      </c>
    </row>
    <row r="381" spans="1:9">
      <c r="A381">
        <v>380</v>
      </c>
      <c r="B381" s="1">
        <v>45052</v>
      </c>
      <c r="C381" t="s">
        <v>393</v>
      </c>
      <c r="D381" t="s">
        <v>10</v>
      </c>
      <c r="E381">
        <v>56</v>
      </c>
      <c r="F381" t="s">
        <v>16</v>
      </c>
      <c r="G381">
        <v>2</v>
      </c>
      <c r="H381">
        <v>300</v>
      </c>
      <c r="I381">
        <v>600</v>
      </c>
    </row>
    <row r="382" spans="1:9">
      <c r="A382">
        <v>381</v>
      </c>
      <c r="B382" s="1">
        <v>45116</v>
      </c>
      <c r="C382" t="s">
        <v>394</v>
      </c>
      <c r="D382" t="s">
        <v>13</v>
      </c>
      <c r="E382">
        <v>44</v>
      </c>
      <c r="F382" t="s">
        <v>14</v>
      </c>
      <c r="G382">
        <v>4</v>
      </c>
      <c r="H382">
        <v>25</v>
      </c>
      <c r="I382">
        <v>100</v>
      </c>
    </row>
    <row r="383" spans="1:9">
      <c r="A383">
        <v>382</v>
      </c>
      <c r="B383" s="1">
        <v>45072</v>
      </c>
      <c r="C383" t="s">
        <v>395</v>
      </c>
      <c r="D383" t="s">
        <v>13</v>
      </c>
      <c r="E383">
        <v>53</v>
      </c>
      <c r="F383" t="s">
        <v>14</v>
      </c>
      <c r="G383">
        <v>2</v>
      </c>
      <c r="H383">
        <v>500</v>
      </c>
      <c r="I383">
        <v>1000</v>
      </c>
    </row>
    <row r="384" spans="1:9">
      <c r="A384">
        <v>383</v>
      </c>
      <c r="B384" s="1">
        <v>45007</v>
      </c>
      <c r="C384" t="s">
        <v>396</v>
      </c>
      <c r="D384" t="s">
        <v>13</v>
      </c>
      <c r="E384">
        <v>46</v>
      </c>
      <c r="F384" t="s">
        <v>11</v>
      </c>
      <c r="G384">
        <v>3</v>
      </c>
      <c r="H384">
        <v>30</v>
      </c>
      <c r="I384">
        <v>90</v>
      </c>
    </row>
    <row r="385" spans="1:9">
      <c r="A385">
        <v>384</v>
      </c>
      <c r="B385" s="1">
        <v>45151</v>
      </c>
      <c r="C385" t="s">
        <v>397</v>
      </c>
      <c r="D385" t="s">
        <v>10</v>
      </c>
      <c r="E385">
        <v>55</v>
      </c>
      <c r="F385" t="s">
        <v>14</v>
      </c>
      <c r="G385">
        <v>1</v>
      </c>
      <c r="H385">
        <v>500</v>
      </c>
      <c r="I385">
        <v>500</v>
      </c>
    </row>
    <row r="386" spans="1:9">
      <c r="A386">
        <v>385</v>
      </c>
      <c r="B386" s="1">
        <v>45205</v>
      </c>
      <c r="C386" t="s">
        <v>398</v>
      </c>
      <c r="D386" t="s">
        <v>10</v>
      </c>
      <c r="E386">
        <v>50</v>
      </c>
      <c r="F386" t="s">
        <v>16</v>
      </c>
      <c r="G386">
        <v>3</v>
      </c>
      <c r="H386">
        <v>500</v>
      </c>
      <c r="I386">
        <v>1500</v>
      </c>
    </row>
    <row r="387" spans="1:9">
      <c r="A387">
        <v>386</v>
      </c>
      <c r="B387" s="1">
        <v>45287</v>
      </c>
      <c r="C387" t="s">
        <v>399</v>
      </c>
      <c r="D387" t="s">
        <v>13</v>
      </c>
      <c r="E387">
        <v>54</v>
      </c>
      <c r="F387" t="s">
        <v>16</v>
      </c>
      <c r="G387">
        <v>2</v>
      </c>
      <c r="H387">
        <v>300</v>
      </c>
      <c r="I387">
        <v>600</v>
      </c>
    </row>
    <row r="388" spans="1:9">
      <c r="A388">
        <v>387</v>
      </c>
      <c r="B388" s="1">
        <v>45081</v>
      </c>
      <c r="C388" t="s">
        <v>400</v>
      </c>
      <c r="D388" t="s">
        <v>10</v>
      </c>
      <c r="E388">
        <v>44</v>
      </c>
      <c r="F388" t="s">
        <v>11</v>
      </c>
      <c r="G388">
        <v>1</v>
      </c>
      <c r="H388">
        <v>30</v>
      </c>
      <c r="I388">
        <v>30</v>
      </c>
    </row>
    <row r="389" spans="1:9">
      <c r="A389">
        <v>388</v>
      </c>
      <c r="B389" s="1">
        <v>45240</v>
      </c>
      <c r="C389" t="s">
        <v>401</v>
      </c>
      <c r="D389" t="s">
        <v>10</v>
      </c>
      <c r="E389">
        <v>50</v>
      </c>
      <c r="F389" t="s">
        <v>16</v>
      </c>
      <c r="G389">
        <v>1</v>
      </c>
      <c r="H389">
        <v>25</v>
      </c>
      <c r="I389">
        <v>25</v>
      </c>
    </row>
    <row r="390" spans="1:9">
      <c r="A390">
        <v>389</v>
      </c>
      <c r="B390" s="1">
        <v>45261</v>
      </c>
      <c r="C390" t="s">
        <v>402</v>
      </c>
      <c r="D390" t="s">
        <v>10</v>
      </c>
      <c r="E390">
        <v>21</v>
      </c>
      <c r="F390" t="s">
        <v>14</v>
      </c>
      <c r="G390">
        <v>2</v>
      </c>
      <c r="H390">
        <v>25</v>
      </c>
      <c r="I390">
        <v>50</v>
      </c>
    </row>
    <row r="391" spans="1:9">
      <c r="A391">
        <v>390</v>
      </c>
      <c r="B391" s="1">
        <v>45197</v>
      </c>
      <c r="C391" t="s">
        <v>403</v>
      </c>
      <c r="D391" t="s">
        <v>10</v>
      </c>
      <c r="E391">
        <v>39</v>
      </c>
      <c r="F391" t="s">
        <v>16</v>
      </c>
      <c r="G391">
        <v>2</v>
      </c>
      <c r="H391">
        <v>50</v>
      </c>
      <c r="I391">
        <v>100</v>
      </c>
    </row>
    <row r="392" spans="1:9">
      <c r="A392">
        <v>391</v>
      </c>
      <c r="B392" s="1">
        <v>44931</v>
      </c>
      <c r="C392" t="s">
        <v>404</v>
      </c>
      <c r="D392" t="s">
        <v>10</v>
      </c>
      <c r="E392">
        <v>19</v>
      </c>
      <c r="F392" t="s">
        <v>11</v>
      </c>
      <c r="G392">
        <v>2</v>
      </c>
      <c r="H392">
        <v>25</v>
      </c>
      <c r="I392">
        <v>50</v>
      </c>
    </row>
    <row r="393" spans="1:9">
      <c r="A393">
        <v>392</v>
      </c>
      <c r="B393" s="1">
        <v>45268</v>
      </c>
      <c r="C393" t="s">
        <v>405</v>
      </c>
      <c r="D393" t="s">
        <v>10</v>
      </c>
      <c r="E393">
        <v>27</v>
      </c>
      <c r="F393" t="s">
        <v>14</v>
      </c>
      <c r="G393">
        <v>2</v>
      </c>
      <c r="H393">
        <v>300</v>
      </c>
      <c r="I393">
        <v>600</v>
      </c>
    </row>
    <row r="394" spans="1:9">
      <c r="A394">
        <v>393</v>
      </c>
      <c r="B394" s="1">
        <v>45210</v>
      </c>
      <c r="C394" t="s">
        <v>406</v>
      </c>
      <c r="D394" t="s">
        <v>13</v>
      </c>
      <c r="E394">
        <v>22</v>
      </c>
      <c r="F394" t="s">
        <v>11</v>
      </c>
      <c r="G394">
        <v>2</v>
      </c>
      <c r="H394">
        <v>500</v>
      </c>
      <c r="I394">
        <v>1000</v>
      </c>
    </row>
    <row r="395" spans="1:9">
      <c r="A395">
        <v>394</v>
      </c>
      <c r="B395" s="1">
        <v>45080</v>
      </c>
      <c r="C395" t="s">
        <v>407</v>
      </c>
      <c r="D395" t="s">
        <v>13</v>
      </c>
      <c r="E395">
        <v>27</v>
      </c>
      <c r="F395" t="s">
        <v>14</v>
      </c>
      <c r="G395">
        <v>1</v>
      </c>
      <c r="H395">
        <v>500</v>
      </c>
      <c r="I395">
        <v>500</v>
      </c>
    </row>
    <row r="396" spans="1:9">
      <c r="A396">
        <v>395</v>
      </c>
      <c r="B396" s="1">
        <v>45266</v>
      </c>
      <c r="C396" t="s">
        <v>408</v>
      </c>
      <c r="D396" t="s">
        <v>10</v>
      </c>
      <c r="E396">
        <v>50</v>
      </c>
      <c r="F396" t="s">
        <v>16</v>
      </c>
      <c r="G396">
        <v>2</v>
      </c>
      <c r="H396">
        <v>500</v>
      </c>
      <c r="I396">
        <v>1000</v>
      </c>
    </row>
    <row r="397" spans="1:9">
      <c r="A397">
        <v>396</v>
      </c>
      <c r="B397" s="1">
        <v>44980</v>
      </c>
      <c r="C397" t="s">
        <v>409</v>
      </c>
      <c r="D397" t="s">
        <v>13</v>
      </c>
      <c r="E397">
        <v>55</v>
      </c>
      <c r="F397" t="s">
        <v>11</v>
      </c>
      <c r="G397">
        <v>1</v>
      </c>
      <c r="H397">
        <v>30</v>
      </c>
      <c r="I397">
        <v>30</v>
      </c>
    </row>
    <row r="398" spans="1:9">
      <c r="A398">
        <v>397</v>
      </c>
      <c r="B398" s="1">
        <v>44995</v>
      </c>
      <c r="C398" t="s">
        <v>410</v>
      </c>
      <c r="D398" t="s">
        <v>13</v>
      </c>
      <c r="E398">
        <v>30</v>
      </c>
      <c r="F398" t="s">
        <v>11</v>
      </c>
      <c r="G398">
        <v>1</v>
      </c>
      <c r="H398">
        <v>25</v>
      </c>
      <c r="I398">
        <v>25</v>
      </c>
    </row>
    <row r="399" spans="1:9">
      <c r="A399">
        <v>398</v>
      </c>
      <c r="B399" s="1">
        <v>45062</v>
      </c>
      <c r="C399" t="s">
        <v>411</v>
      </c>
      <c r="D399" t="s">
        <v>13</v>
      </c>
      <c r="E399">
        <v>48</v>
      </c>
      <c r="F399" t="s">
        <v>14</v>
      </c>
      <c r="G399">
        <v>2</v>
      </c>
      <c r="H399">
        <v>300</v>
      </c>
      <c r="I399">
        <v>600</v>
      </c>
    </row>
    <row r="400" spans="1:9">
      <c r="A400">
        <v>399</v>
      </c>
      <c r="B400" s="1">
        <v>44986</v>
      </c>
      <c r="C400" t="s">
        <v>412</v>
      </c>
      <c r="D400" t="s">
        <v>13</v>
      </c>
      <c r="E400">
        <v>64</v>
      </c>
      <c r="F400" t="s">
        <v>11</v>
      </c>
      <c r="G400">
        <v>2</v>
      </c>
      <c r="H400">
        <v>30</v>
      </c>
      <c r="I400">
        <v>60</v>
      </c>
    </row>
    <row r="401" spans="1:9">
      <c r="A401">
        <v>400</v>
      </c>
      <c r="B401" s="1">
        <v>44981</v>
      </c>
      <c r="C401" t="s">
        <v>413</v>
      </c>
      <c r="D401" t="s">
        <v>10</v>
      </c>
      <c r="E401">
        <v>53</v>
      </c>
      <c r="F401" t="s">
        <v>14</v>
      </c>
      <c r="G401">
        <v>4</v>
      </c>
      <c r="H401">
        <v>50</v>
      </c>
      <c r="I401">
        <v>200</v>
      </c>
    </row>
    <row r="402" spans="1:9">
      <c r="A402">
        <v>401</v>
      </c>
      <c r="B402" s="1">
        <v>45210</v>
      </c>
      <c r="C402" t="s">
        <v>414</v>
      </c>
      <c r="D402" t="s">
        <v>13</v>
      </c>
      <c r="E402">
        <v>62</v>
      </c>
      <c r="F402" t="s">
        <v>14</v>
      </c>
      <c r="G402">
        <v>1</v>
      </c>
      <c r="H402">
        <v>300</v>
      </c>
      <c r="I402">
        <v>300</v>
      </c>
    </row>
    <row r="403" spans="1:9">
      <c r="A403">
        <v>402</v>
      </c>
      <c r="B403" s="1">
        <v>45006</v>
      </c>
      <c r="C403" t="s">
        <v>415</v>
      </c>
      <c r="D403" t="s">
        <v>13</v>
      </c>
      <c r="E403">
        <v>41</v>
      </c>
      <c r="F403" t="s">
        <v>14</v>
      </c>
      <c r="G403">
        <v>2</v>
      </c>
      <c r="H403">
        <v>300</v>
      </c>
      <c r="I403">
        <v>600</v>
      </c>
    </row>
    <row r="404" spans="1:9">
      <c r="A404">
        <v>403</v>
      </c>
      <c r="B404" s="1">
        <v>45066</v>
      </c>
      <c r="C404" t="s">
        <v>416</v>
      </c>
      <c r="D404" t="s">
        <v>10</v>
      </c>
      <c r="E404">
        <v>32</v>
      </c>
      <c r="F404" t="s">
        <v>14</v>
      </c>
      <c r="G404">
        <v>2</v>
      </c>
      <c r="H404">
        <v>300</v>
      </c>
      <c r="I404">
        <v>600</v>
      </c>
    </row>
    <row r="405" spans="1:9">
      <c r="A405">
        <v>404</v>
      </c>
      <c r="B405" s="1">
        <v>45071</v>
      </c>
      <c r="C405" t="s">
        <v>417</v>
      </c>
      <c r="D405" t="s">
        <v>10</v>
      </c>
      <c r="E405">
        <v>46</v>
      </c>
      <c r="F405" t="s">
        <v>16</v>
      </c>
      <c r="G405">
        <v>2</v>
      </c>
      <c r="H405">
        <v>500</v>
      </c>
      <c r="I405">
        <v>1000</v>
      </c>
    </row>
    <row r="406" spans="1:9">
      <c r="A406">
        <v>405</v>
      </c>
      <c r="B406" s="1">
        <v>45236</v>
      </c>
      <c r="C406" t="s">
        <v>418</v>
      </c>
      <c r="D406" t="s">
        <v>13</v>
      </c>
      <c r="E406">
        <v>25</v>
      </c>
      <c r="F406" t="s">
        <v>14</v>
      </c>
      <c r="G406">
        <v>4</v>
      </c>
      <c r="H406">
        <v>300</v>
      </c>
      <c r="I406">
        <v>1200</v>
      </c>
    </row>
    <row r="407" spans="1:9">
      <c r="A407">
        <v>406</v>
      </c>
      <c r="B407" s="1">
        <v>45034</v>
      </c>
      <c r="C407" t="s">
        <v>419</v>
      </c>
      <c r="D407" t="s">
        <v>13</v>
      </c>
      <c r="E407">
        <v>22</v>
      </c>
      <c r="F407" t="s">
        <v>11</v>
      </c>
      <c r="G407">
        <v>4</v>
      </c>
      <c r="H407">
        <v>25</v>
      </c>
      <c r="I407">
        <v>100</v>
      </c>
    </row>
    <row r="408" spans="1:9">
      <c r="A408">
        <v>407</v>
      </c>
      <c r="B408" s="1">
        <v>45102</v>
      </c>
      <c r="C408" t="s">
        <v>420</v>
      </c>
      <c r="D408" t="s">
        <v>13</v>
      </c>
      <c r="E408">
        <v>46</v>
      </c>
      <c r="F408" t="s">
        <v>16</v>
      </c>
      <c r="G408">
        <v>3</v>
      </c>
      <c r="H408">
        <v>300</v>
      </c>
      <c r="I408">
        <v>900</v>
      </c>
    </row>
    <row r="409" spans="1:9">
      <c r="A409">
        <v>408</v>
      </c>
      <c r="B409" s="1">
        <v>45031</v>
      </c>
      <c r="C409" t="s">
        <v>421</v>
      </c>
      <c r="D409" t="s">
        <v>13</v>
      </c>
      <c r="E409">
        <v>64</v>
      </c>
      <c r="F409" t="s">
        <v>11</v>
      </c>
      <c r="G409">
        <v>1</v>
      </c>
      <c r="H409">
        <v>500</v>
      </c>
      <c r="I409">
        <v>500</v>
      </c>
    </row>
    <row r="410" spans="1:9">
      <c r="A410">
        <v>409</v>
      </c>
      <c r="B410" s="1">
        <v>45278</v>
      </c>
      <c r="C410" t="s">
        <v>422</v>
      </c>
      <c r="D410" t="s">
        <v>13</v>
      </c>
      <c r="E410">
        <v>21</v>
      </c>
      <c r="F410" t="s">
        <v>16</v>
      </c>
      <c r="G410">
        <v>3</v>
      </c>
      <c r="H410">
        <v>300</v>
      </c>
      <c r="I410">
        <v>900</v>
      </c>
    </row>
    <row r="411" spans="1:9">
      <c r="A411">
        <v>410</v>
      </c>
      <c r="B411" s="1">
        <v>45251</v>
      </c>
      <c r="C411" t="s">
        <v>423</v>
      </c>
      <c r="D411" t="s">
        <v>13</v>
      </c>
      <c r="E411">
        <v>29</v>
      </c>
      <c r="F411" t="s">
        <v>14</v>
      </c>
      <c r="G411">
        <v>2</v>
      </c>
      <c r="H411">
        <v>50</v>
      </c>
      <c r="I411">
        <v>100</v>
      </c>
    </row>
    <row r="412" spans="1:9">
      <c r="A412">
        <v>411</v>
      </c>
      <c r="B412" s="1">
        <v>45062</v>
      </c>
      <c r="C412" t="s">
        <v>424</v>
      </c>
      <c r="D412" t="s">
        <v>10</v>
      </c>
      <c r="E412">
        <v>62</v>
      </c>
      <c r="F412" t="s">
        <v>16</v>
      </c>
      <c r="G412">
        <v>4</v>
      </c>
      <c r="H412">
        <v>50</v>
      </c>
      <c r="I412">
        <v>200</v>
      </c>
    </row>
    <row r="413" spans="1:9">
      <c r="A413">
        <v>412</v>
      </c>
      <c r="B413" s="1">
        <v>45185</v>
      </c>
      <c r="C413" t="s">
        <v>425</v>
      </c>
      <c r="D413" t="s">
        <v>13</v>
      </c>
      <c r="E413">
        <v>19</v>
      </c>
      <c r="F413" t="s">
        <v>16</v>
      </c>
      <c r="G413">
        <v>4</v>
      </c>
      <c r="H413">
        <v>500</v>
      </c>
      <c r="I413">
        <v>2000</v>
      </c>
    </row>
    <row r="414" spans="1:9">
      <c r="A414">
        <v>413</v>
      </c>
      <c r="B414" s="1">
        <v>45177</v>
      </c>
      <c r="C414" t="s">
        <v>426</v>
      </c>
      <c r="D414" t="s">
        <v>13</v>
      </c>
      <c r="E414">
        <v>44</v>
      </c>
      <c r="F414" t="s">
        <v>11</v>
      </c>
      <c r="G414">
        <v>3</v>
      </c>
      <c r="H414">
        <v>25</v>
      </c>
      <c r="I414">
        <v>75</v>
      </c>
    </row>
    <row r="415" spans="1:9">
      <c r="A415">
        <v>414</v>
      </c>
      <c r="B415" s="1">
        <v>45055</v>
      </c>
      <c r="C415" t="s">
        <v>427</v>
      </c>
      <c r="D415" t="s">
        <v>10</v>
      </c>
      <c r="E415">
        <v>48</v>
      </c>
      <c r="F415" t="s">
        <v>11</v>
      </c>
      <c r="G415">
        <v>4</v>
      </c>
      <c r="H415">
        <v>25</v>
      </c>
      <c r="I415">
        <v>100</v>
      </c>
    </row>
    <row r="416" spans="1:9">
      <c r="A416">
        <v>415</v>
      </c>
      <c r="B416" s="1">
        <v>44953</v>
      </c>
      <c r="C416" t="s">
        <v>428</v>
      </c>
      <c r="D416" t="s">
        <v>10</v>
      </c>
      <c r="E416">
        <v>53</v>
      </c>
      <c r="F416" t="s">
        <v>14</v>
      </c>
      <c r="G416">
        <v>2</v>
      </c>
      <c r="H416">
        <v>30</v>
      </c>
      <c r="I416">
        <v>60</v>
      </c>
    </row>
    <row r="417" spans="1:9">
      <c r="A417">
        <v>416</v>
      </c>
      <c r="B417" s="1">
        <v>44974</v>
      </c>
      <c r="C417" t="s">
        <v>429</v>
      </c>
      <c r="D417" t="s">
        <v>10</v>
      </c>
      <c r="E417">
        <v>53</v>
      </c>
      <c r="F417" t="s">
        <v>16</v>
      </c>
      <c r="G417">
        <v>4</v>
      </c>
      <c r="H417">
        <v>500</v>
      </c>
      <c r="I417">
        <v>2000</v>
      </c>
    </row>
    <row r="418" spans="1:9">
      <c r="A418">
        <v>417</v>
      </c>
      <c r="B418" s="1">
        <v>45251</v>
      </c>
      <c r="C418" t="s">
        <v>430</v>
      </c>
      <c r="D418" t="s">
        <v>10</v>
      </c>
      <c r="E418">
        <v>43</v>
      </c>
      <c r="F418" t="s">
        <v>16</v>
      </c>
      <c r="G418">
        <v>3</v>
      </c>
      <c r="H418">
        <v>300</v>
      </c>
      <c r="I418">
        <v>900</v>
      </c>
    </row>
    <row r="419" spans="1:9">
      <c r="A419">
        <v>418</v>
      </c>
      <c r="B419" s="1">
        <v>45143</v>
      </c>
      <c r="C419" t="s">
        <v>431</v>
      </c>
      <c r="D419" t="s">
        <v>13</v>
      </c>
      <c r="E419">
        <v>60</v>
      </c>
      <c r="F419" t="s">
        <v>16</v>
      </c>
      <c r="G419">
        <v>2</v>
      </c>
      <c r="H419">
        <v>500</v>
      </c>
      <c r="I419">
        <v>1000</v>
      </c>
    </row>
    <row r="420" spans="1:9">
      <c r="A420">
        <v>419</v>
      </c>
      <c r="B420" s="1">
        <v>45068</v>
      </c>
      <c r="C420" t="s">
        <v>432</v>
      </c>
      <c r="D420" t="s">
        <v>13</v>
      </c>
      <c r="E420">
        <v>44</v>
      </c>
      <c r="F420" t="s">
        <v>14</v>
      </c>
      <c r="G420">
        <v>3</v>
      </c>
      <c r="H420">
        <v>30</v>
      </c>
      <c r="I420">
        <v>90</v>
      </c>
    </row>
    <row r="421" spans="1:9">
      <c r="A421">
        <v>420</v>
      </c>
      <c r="B421" s="1">
        <v>44949</v>
      </c>
      <c r="C421" t="s">
        <v>433</v>
      </c>
      <c r="D421" t="s">
        <v>13</v>
      </c>
      <c r="E421">
        <v>22</v>
      </c>
      <c r="F421" t="s">
        <v>14</v>
      </c>
      <c r="G421">
        <v>4</v>
      </c>
      <c r="H421">
        <v>500</v>
      </c>
      <c r="I421">
        <v>2000</v>
      </c>
    </row>
    <row r="422" spans="1:9">
      <c r="A422">
        <v>421</v>
      </c>
      <c r="B422" s="1">
        <v>44928</v>
      </c>
      <c r="C422" t="s">
        <v>434</v>
      </c>
      <c r="D422" t="s">
        <v>13</v>
      </c>
      <c r="E422">
        <v>37</v>
      </c>
      <c r="F422" t="s">
        <v>14</v>
      </c>
      <c r="G422">
        <v>3</v>
      </c>
      <c r="H422">
        <v>500</v>
      </c>
      <c r="I422">
        <v>1500</v>
      </c>
    </row>
    <row r="423" spans="1:9">
      <c r="A423">
        <v>422</v>
      </c>
      <c r="B423" s="1">
        <v>45097</v>
      </c>
      <c r="C423" t="s">
        <v>435</v>
      </c>
      <c r="D423" t="s">
        <v>13</v>
      </c>
      <c r="E423">
        <v>28</v>
      </c>
      <c r="F423" t="s">
        <v>14</v>
      </c>
      <c r="G423">
        <v>3</v>
      </c>
      <c r="H423">
        <v>30</v>
      </c>
      <c r="I423">
        <v>90</v>
      </c>
    </row>
    <row r="424" spans="1:9">
      <c r="A424">
        <v>423</v>
      </c>
      <c r="B424" s="1">
        <v>44993</v>
      </c>
      <c r="C424" t="s">
        <v>436</v>
      </c>
      <c r="D424" t="s">
        <v>13</v>
      </c>
      <c r="E424">
        <v>27</v>
      </c>
      <c r="F424" t="s">
        <v>14</v>
      </c>
      <c r="G424">
        <v>1</v>
      </c>
      <c r="H424">
        <v>25</v>
      </c>
      <c r="I424">
        <v>25</v>
      </c>
    </row>
    <row r="425" spans="1:9">
      <c r="A425">
        <v>424</v>
      </c>
      <c r="B425" s="1">
        <v>45253</v>
      </c>
      <c r="C425" t="s">
        <v>437</v>
      </c>
      <c r="D425" t="s">
        <v>10</v>
      </c>
      <c r="E425">
        <v>57</v>
      </c>
      <c r="F425" t="s">
        <v>11</v>
      </c>
      <c r="G425">
        <v>4</v>
      </c>
      <c r="H425">
        <v>300</v>
      </c>
      <c r="I425">
        <v>1200</v>
      </c>
    </row>
    <row r="426" spans="1:9">
      <c r="A426">
        <v>425</v>
      </c>
      <c r="B426" s="1">
        <v>45061</v>
      </c>
      <c r="C426" t="s">
        <v>438</v>
      </c>
      <c r="D426" t="s">
        <v>13</v>
      </c>
      <c r="E426">
        <v>55</v>
      </c>
      <c r="F426" t="s">
        <v>16</v>
      </c>
      <c r="G426">
        <v>4</v>
      </c>
      <c r="H426">
        <v>30</v>
      </c>
      <c r="I426">
        <v>120</v>
      </c>
    </row>
    <row r="427" spans="1:9">
      <c r="A427">
        <v>426</v>
      </c>
      <c r="B427" s="1">
        <v>45009</v>
      </c>
      <c r="C427" t="s">
        <v>439</v>
      </c>
      <c r="D427" t="s">
        <v>10</v>
      </c>
      <c r="E427">
        <v>23</v>
      </c>
      <c r="F427" t="s">
        <v>16</v>
      </c>
      <c r="G427">
        <v>3</v>
      </c>
      <c r="H427">
        <v>50</v>
      </c>
      <c r="I427">
        <v>150</v>
      </c>
    </row>
    <row r="428" spans="1:9">
      <c r="A428">
        <v>427</v>
      </c>
      <c r="B428" s="1">
        <v>45153</v>
      </c>
      <c r="C428" t="s">
        <v>440</v>
      </c>
      <c r="D428" t="s">
        <v>10</v>
      </c>
      <c r="E428">
        <v>25</v>
      </c>
      <c r="F428" t="s">
        <v>16</v>
      </c>
      <c r="G428">
        <v>1</v>
      </c>
      <c r="H428">
        <v>25</v>
      </c>
      <c r="I428">
        <v>25</v>
      </c>
    </row>
    <row r="429" spans="1:9">
      <c r="A429">
        <v>428</v>
      </c>
      <c r="B429" s="1">
        <v>45209</v>
      </c>
      <c r="C429" t="s">
        <v>441</v>
      </c>
      <c r="D429" t="s">
        <v>13</v>
      </c>
      <c r="E429">
        <v>40</v>
      </c>
      <c r="F429" t="s">
        <v>16</v>
      </c>
      <c r="G429">
        <v>4</v>
      </c>
      <c r="H429">
        <v>50</v>
      </c>
      <c r="I429">
        <v>200</v>
      </c>
    </row>
    <row r="430" spans="1:9">
      <c r="A430">
        <v>429</v>
      </c>
      <c r="B430" s="1">
        <v>45288</v>
      </c>
      <c r="C430" t="s">
        <v>442</v>
      </c>
      <c r="D430" t="s">
        <v>10</v>
      </c>
      <c r="E430">
        <v>64</v>
      </c>
      <c r="F430" t="s">
        <v>16</v>
      </c>
      <c r="G430">
        <v>2</v>
      </c>
      <c r="H430">
        <v>25</v>
      </c>
      <c r="I430">
        <v>50</v>
      </c>
    </row>
    <row r="431" spans="1:9">
      <c r="A431">
        <v>430</v>
      </c>
      <c r="B431" s="1">
        <v>45145</v>
      </c>
      <c r="C431" t="s">
        <v>443</v>
      </c>
      <c r="D431" t="s">
        <v>13</v>
      </c>
      <c r="E431">
        <v>43</v>
      </c>
      <c r="F431" t="s">
        <v>16</v>
      </c>
      <c r="G431">
        <v>3</v>
      </c>
      <c r="H431">
        <v>300</v>
      </c>
      <c r="I431">
        <v>900</v>
      </c>
    </row>
    <row r="432" spans="1:9">
      <c r="A432">
        <v>431</v>
      </c>
      <c r="B432" s="1">
        <v>45214</v>
      </c>
      <c r="C432" t="s">
        <v>444</v>
      </c>
      <c r="D432" t="s">
        <v>10</v>
      </c>
      <c r="E432">
        <v>63</v>
      </c>
      <c r="F432" t="s">
        <v>16</v>
      </c>
      <c r="G432">
        <v>4</v>
      </c>
      <c r="H432">
        <v>300</v>
      </c>
      <c r="I432">
        <v>1200</v>
      </c>
    </row>
    <row r="433" spans="1:9">
      <c r="A433">
        <v>432</v>
      </c>
      <c r="B433" s="1">
        <v>44931</v>
      </c>
      <c r="C433" t="s">
        <v>445</v>
      </c>
      <c r="D433" t="s">
        <v>13</v>
      </c>
      <c r="E433">
        <v>60</v>
      </c>
      <c r="F433" t="s">
        <v>16</v>
      </c>
      <c r="G433">
        <v>2</v>
      </c>
      <c r="H433">
        <v>500</v>
      </c>
      <c r="I433">
        <v>1000</v>
      </c>
    </row>
    <row r="434" spans="1:9">
      <c r="A434">
        <v>433</v>
      </c>
      <c r="B434" s="1">
        <v>44984</v>
      </c>
      <c r="C434" t="s">
        <v>446</v>
      </c>
      <c r="D434" t="s">
        <v>10</v>
      </c>
      <c r="E434">
        <v>29</v>
      </c>
      <c r="F434" t="s">
        <v>11</v>
      </c>
      <c r="G434">
        <v>4</v>
      </c>
      <c r="H434">
        <v>50</v>
      </c>
      <c r="I434">
        <v>200</v>
      </c>
    </row>
    <row r="435" spans="1:9">
      <c r="A435">
        <v>434</v>
      </c>
      <c r="B435" s="1">
        <v>44965</v>
      </c>
      <c r="C435" t="s">
        <v>447</v>
      </c>
      <c r="D435" t="s">
        <v>13</v>
      </c>
      <c r="E435">
        <v>43</v>
      </c>
      <c r="F435" t="s">
        <v>16</v>
      </c>
      <c r="G435">
        <v>2</v>
      </c>
      <c r="H435">
        <v>25</v>
      </c>
      <c r="I435">
        <v>50</v>
      </c>
    </row>
    <row r="436" spans="1:9">
      <c r="A436">
        <v>435</v>
      </c>
      <c r="B436" s="1">
        <v>45280</v>
      </c>
      <c r="C436" t="s">
        <v>448</v>
      </c>
      <c r="D436" t="s">
        <v>13</v>
      </c>
      <c r="E436">
        <v>30</v>
      </c>
      <c r="F436" t="s">
        <v>11</v>
      </c>
      <c r="G436">
        <v>3</v>
      </c>
      <c r="H436">
        <v>300</v>
      </c>
      <c r="I436">
        <v>900</v>
      </c>
    </row>
    <row r="437" spans="1:9">
      <c r="A437">
        <v>436</v>
      </c>
      <c r="B437" s="1">
        <v>45003</v>
      </c>
      <c r="C437" t="s">
        <v>449</v>
      </c>
      <c r="D437" t="s">
        <v>13</v>
      </c>
      <c r="E437">
        <v>57</v>
      </c>
      <c r="F437" t="s">
        <v>14</v>
      </c>
      <c r="G437">
        <v>4</v>
      </c>
      <c r="H437">
        <v>30</v>
      </c>
      <c r="I437">
        <v>120</v>
      </c>
    </row>
    <row r="438" spans="1:9">
      <c r="A438">
        <v>437</v>
      </c>
      <c r="B438" s="1">
        <v>45206</v>
      </c>
      <c r="C438" t="s">
        <v>450</v>
      </c>
      <c r="D438" t="s">
        <v>13</v>
      </c>
      <c r="E438">
        <v>35</v>
      </c>
      <c r="F438" t="s">
        <v>16</v>
      </c>
      <c r="G438">
        <v>4</v>
      </c>
      <c r="H438">
        <v>300</v>
      </c>
      <c r="I438">
        <v>1200</v>
      </c>
    </row>
    <row r="439" spans="1:9">
      <c r="A439">
        <v>438</v>
      </c>
      <c r="B439" s="1">
        <v>44945</v>
      </c>
      <c r="C439" t="s">
        <v>451</v>
      </c>
      <c r="D439" t="s">
        <v>13</v>
      </c>
      <c r="E439">
        <v>42</v>
      </c>
      <c r="F439" t="s">
        <v>14</v>
      </c>
      <c r="G439">
        <v>1</v>
      </c>
      <c r="H439">
        <v>30</v>
      </c>
      <c r="I439">
        <v>30</v>
      </c>
    </row>
    <row r="440" spans="1:9">
      <c r="A440">
        <v>439</v>
      </c>
      <c r="B440" s="1">
        <v>45116</v>
      </c>
      <c r="C440" t="s">
        <v>452</v>
      </c>
      <c r="D440" t="s">
        <v>10</v>
      </c>
      <c r="E440">
        <v>50</v>
      </c>
      <c r="F440" t="s">
        <v>14</v>
      </c>
      <c r="G440">
        <v>3</v>
      </c>
      <c r="H440">
        <v>25</v>
      </c>
      <c r="I440">
        <v>75</v>
      </c>
    </row>
    <row r="441" spans="1:9">
      <c r="A441">
        <v>440</v>
      </c>
      <c r="B441" s="1">
        <v>45225</v>
      </c>
      <c r="C441" t="s">
        <v>453</v>
      </c>
      <c r="D441" t="s">
        <v>10</v>
      </c>
      <c r="E441">
        <v>64</v>
      </c>
      <c r="F441" t="s">
        <v>14</v>
      </c>
      <c r="G441">
        <v>2</v>
      </c>
      <c r="H441">
        <v>300</v>
      </c>
      <c r="I441">
        <v>600</v>
      </c>
    </row>
    <row r="442" spans="1:9">
      <c r="A442">
        <v>441</v>
      </c>
      <c r="B442" s="1">
        <v>45209</v>
      </c>
      <c r="C442" t="s">
        <v>454</v>
      </c>
      <c r="D442" t="s">
        <v>10</v>
      </c>
      <c r="E442">
        <v>57</v>
      </c>
      <c r="F442" t="s">
        <v>11</v>
      </c>
      <c r="G442">
        <v>4</v>
      </c>
      <c r="H442">
        <v>300</v>
      </c>
      <c r="I442">
        <v>1200</v>
      </c>
    </row>
    <row r="443" spans="1:9">
      <c r="A443">
        <v>442</v>
      </c>
      <c r="B443" s="1">
        <v>45002</v>
      </c>
      <c r="C443" t="s">
        <v>455</v>
      </c>
      <c r="D443" t="s">
        <v>13</v>
      </c>
      <c r="E443">
        <v>60</v>
      </c>
      <c r="F443" t="s">
        <v>14</v>
      </c>
      <c r="G443">
        <v>4</v>
      </c>
      <c r="H443">
        <v>25</v>
      </c>
      <c r="I443">
        <v>100</v>
      </c>
    </row>
    <row r="444" spans="1:9">
      <c r="A444">
        <v>443</v>
      </c>
      <c r="B444" s="1">
        <v>45147</v>
      </c>
      <c r="C444" t="s">
        <v>456</v>
      </c>
      <c r="D444" t="s">
        <v>10</v>
      </c>
      <c r="E444">
        <v>29</v>
      </c>
      <c r="F444" t="s">
        <v>14</v>
      </c>
      <c r="G444">
        <v>2</v>
      </c>
      <c r="H444">
        <v>300</v>
      </c>
      <c r="I444">
        <v>600</v>
      </c>
    </row>
    <row r="445" spans="1:9">
      <c r="A445">
        <v>444</v>
      </c>
      <c r="B445" s="1">
        <v>44992</v>
      </c>
      <c r="C445" t="s">
        <v>457</v>
      </c>
      <c r="D445" t="s">
        <v>13</v>
      </c>
      <c r="E445">
        <v>61</v>
      </c>
      <c r="F445" t="s">
        <v>14</v>
      </c>
      <c r="G445">
        <v>3</v>
      </c>
      <c r="H445">
        <v>30</v>
      </c>
      <c r="I445">
        <v>90</v>
      </c>
    </row>
    <row r="446" spans="1:9">
      <c r="A446">
        <v>445</v>
      </c>
      <c r="B446" s="1">
        <v>44948</v>
      </c>
      <c r="C446" t="s">
        <v>458</v>
      </c>
      <c r="D446" t="s">
        <v>13</v>
      </c>
      <c r="E446">
        <v>53</v>
      </c>
      <c r="F446" t="s">
        <v>16</v>
      </c>
      <c r="G446">
        <v>1</v>
      </c>
      <c r="H446">
        <v>300</v>
      </c>
      <c r="I446">
        <v>300</v>
      </c>
    </row>
    <row r="447" spans="1:9">
      <c r="A447">
        <v>446</v>
      </c>
      <c r="B447" s="1">
        <v>45084</v>
      </c>
      <c r="C447" t="s">
        <v>459</v>
      </c>
      <c r="D447" t="s">
        <v>10</v>
      </c>
      <c r="E447">
        <v>21</v>
      </c>
      <c r="F447" t="s">
        <v>16</v>
      </c>
      <c r="G447">
        <v>1</v>
      </c>
      <c r="H447">
        <v>50</v>
      </c>
      <c r="I447">
        <v>50</v>
      </c>
    </row>
    <row r="448" spans="1:9">
      <c r="A448">
        <v>447</v>
      </c>
      <c r="B448" s="1">
        <v>45113</v>
      </c>
      <c r="C448" t="s">
        <v>460</v>
      </c>
      <c r="D448" t="s">
        <v>10</v>
      </c>
      <c r="E448">
        <v>22</v>
      </c>
      <c r="F448" t="s">
        <v>11</v>
      </c>
      <c r="G448">
        <v>4</v>
      </c>
      <c r="H448">
        <v>500</v>
      </c>
      <c r="I448">
        <v>2000</v>
      </c>
    </row>
    <row r="449" spans="1:9">
      <c r="A449">
        <v>448</v>
      </c>
      <c r="B449" s="1">
        <v>44947</v>
      </c>
      <c r="C449" t="s">
        <v>461</v>
      </c>
      <c r="D449" t="s">
        <v>13</v>
      </c>
      <c r="E449">
        <v>54</v>
      </c>
      <c r="F449" t="s">
        <v>11</v>
      </c>
      <c r="G449">
        <v>2</v>
      </c>
      <c r="H449">
        <v>30</v>
      </c>
      <c r="I449">
        <v>60</v>
      </c>
    </row>
    <row r="450" spans="1:9">
      <c r="A450">
        <v>449</v>
      </c>
      <c r="B450" s="1">
        <v>45110</v>
      </c>
      <c r="C450" t="s">
        <v>462</v>
      </c>
      <c r="D450" t="s">
        <v>10</v>
      </c>
      <c r="E450">
        <v>25</v>
      </c>
      <c r="F450" t="s">
        <v>16</v>
      </c>
      <c r="G450">
        <v>4</v>
      </c>
      <c r="H450">
        <v>50</v>
      </c>
      <c r="I450">
        <v>200</v>
      </c>
    </row>
    <row r="451" spans="1:9">
      <c r="A451">
        <v>450</v>
      </c>
      <c r="B451" s="1">
        <v>45034</v>
      </c>
      <c r="C451" t="s">
        <v>463</v>
      </c>
      <c r="D451" t="s">
        <v>13</v>
      </c>
      <c r="E451">
        <v>59</v>
      </c>
      <c r="F451" t="s">
        <v>11</v>
      </c>
      <c r="G451">
        <v>2</v>
      </c>
      <c r="H451">
        <v>25</v>
      </c>
      <c r="I451">
        <v>50</v>
      </c>
    </row>
    <row r="452" spans="1:9">
      <c r="A452">
        <v>451</v>
      </c>
      <c r="B452" s="1">
        <v>45276</v>
      </c>
      <c r="C452" t="s">
        <v>464</v>
      </c>
      <c r="D452" t="s">
        <v>13</v>
      </c>
      <c r="E452">
        <v>45</v>
      </c>
      <c r="F452" t="s">
        <v>16</v>
      </c>
      <c r="G452">
        <v>1</v>
      </c>
      <c r="H452">
        <v>30</v>
      </c>
      <c r="I452">
        <v>30</v>
      </c>
    </row>
    <row r="453" spans="1:9">
      <c r="A453">
        <v>452</v>
      </c>
      <c r="B453" s="1">
        <v>45054</v>
      </c>
      <c r="C453" t="s">
        <v>465</v>
      </c>
      <c r="D453" t="s">
        <v>13</v>
      </c>
      <c r="E453">
        <v>48</v>
      </c>
      <c r="F453" t="s">
        <v>14</v>
      </c>
      <c r="G453">
        <v>3</v>
      </c>
      <c r="H453">
        <v>500</v>
      </c>
      <c r="I453">
        <v>1500</v>
      </c>
    </row>
    <row r="454" spans="1:9">
      <c r="A454">
        <v>453</v>
      </c>
      <c r="B454" s="1">
        <v>45268</v>
      </c>
      <c r="C454" t="s">
        <v>466</v>
      </c>
      <c r="D454" t="s">
        <v>13</v>
      </c>
      <c r="E454">
        <v>26</v>
      </c>
      <c r="F454" t="s">
        <v>14</v>
      </c>
      <c r="G454">
        <v>2</v>
      </c>
      <c r="H454">
        <v>500</v>
      </c>
      <c r="I454">
        <v>1000</v>
      </c>
    </row>
    <row r="455" spans="1:9">
      <c r="A455">
        <v>454</v>
      </c>
      <c r="B455" s="1">
        <v>44979</v>
      </c>
      <c r="C455" t="s">
        <v>467</v>
      </c>
      <c r="D455" t="s">
        <v>13</v>
      </c>
      <c r="E455">
        <v>46</v>
      </c>
      <c r="F455" t="s">
        <v>11</v>
      </c>
      <c r="G455">
        <v>1</v>
      </c>
      <c r="H455">
        <v>25</v>
      </c>
      <c r="I455">
        <v>25</v>
      </c>
    </row>
    <row r="456" spans="1:9">
      <c r="A456">
        <v>455</v>
      </c>
      <c r="B456" s="1">
        <v>45108</v>
      </c>
      <c r="C456" t="s">
        <v>468</v>
      </c>
      <c r="D456" t="s">
        <v>10</v>
      </c>
      <c r="E456">
        <v>31</v>
      </c>
      <c r="F456" t="s">
        <v>16</v>
      </c>
      <c r="G456">
        <v>4</v>
      </c>
      <c r="H456">
        <v>25</v>
      </c>
      <c r="I456">
        <v>100</v>
      </c>
    </row>
    <row r="457" spans="1:9">
      <c r="A457">
        <v>456</v>
      </c>
      <c r="B457" s="1">
        <v>45213</v>
      </c>
      <c r="C457" t="s">
        <v>469</v>
      </c>
      <c r="D457" t="s">
        <v>10</v>
      </c>
      <c r="E457">
        <v>57</v>
      </c>
      <c r="F457" t="s">
        <v>16</v>
      </c>
      <c r="G457">
        <v>2</v>
      </c>
      <c r="H457">
        <v>30</v>
      </c>
      <c r="I457">
        <v>60</v>
      </c>
    </row>
    <row r="458" spans="1:9">
      <c r="A458">
        <v>457</v>
      </c>
      <c r="B458" s="1">
        <v>45135</v>
      </c>
      <c r="C458" t="s">
        <v>470</v>
      </c>
      <c r="D458" t="s">
        <v>13</v>
      </c>
      <c r="E458">
        <v>58</v>
      </c>
      <c r="F458" t="s">
        <v>11</v>
      </c>
      <c r="G458">
        <v>3</v>
      </c>
      <c r="H458">
        <v>300</v>
      </c>
      <c r="I458">
        <v>900</v>
      </c>
    </row>
    <row r="459" spans="1:9">
      <c r="A459">
        <v>458</v>
      </c>
      <c r="B459" s="1">
        <v>45244</v>
      </c>
      <c r="C459" t="s">
        <v>471</v>
      </c>
      <c r="D459" t="s">
        <v>13</v>
      </c>
      <c r="E459">
        <v>39</v>
      </c>
      <c r="F459" t="s">
        <v>16</v>
      </c>
      <c r="G459">
        <v>4</v>
      </c>
      <c r="H459">
        <v>25</v>
      </c>
      <c r="I459">
        <v>100</v>
      </c>
    </row>
    <row r="460" spans="1:9">
      <c r="A460">
        <v>459</v>
      </c>
      <c r="B460" s="1">
        <v>45006</v>
      </c>
      <c r="C460" t="s">
        <v>472</v>
      </c>
      <c r="D460" t="s">
        <v>10</v>
      </c>
      <c r="E460">
        <v>28</v>
      </c>
      <c r="F460" t="s">
        <v>14</v>
      </c>
      <c r="G460">
        <v>4</v>
      </c>
      <c r="H460">
        <v>300</v>
      </c>
      <c r="I460">
        <v>1200</v>
      </c>
    </row>
    <row r="461" spans="1:9">
      <c r="A461">
        <v>460</v>
      </c>
      <c r="B461" s="1">
        <v>45048</v>
      </c>
      <c r="C461" t="s">
        <v>473</v>
      </c>
      <c r="D461" t="s">
        <v>10</v>
      </c>
      <c r="E461">
        <v>40</v>
      </c>
      <c r="F461" t="s">
        <v>11</v>
      </c>
      <c r="G461">
        <v>1</v>
      </c>
      <c r="H461">
        <v>50</v>
      </c>
      <c r="I461">
        <v>50</v>
      </c>
    </row>
    <row r="462" spans="1:9">
      <c r="A462">
        <v>461</v>
      </c>
      <c r="B462" s="1">
        <v>45010</v>
      </c>
      <c r="C462" t="s">
        <v>474</v>
      </c>
      <c r="D462" t="s">
        <v>13</v>
      </c>
      <c r="E462">
        <v>18</v>
      </c>
      <c r="F462" t="s">
        <v>11</v>
      </c>
      <c r="G462">
        <v>2</v>
      </c>
      <c r="H462">
        <v>500</v>
      </c>
      <c r="I462">
        <v>1000</v>
      </c>
    </row>
    <row r="463" spans="1:9">
      <c r="A463">
        <v>462</v>
      </c>
      <c r="B463" s="1">
        <v>45017</v>
      </c>
      <c r="C463" t="s">
        <v>475</v>
      </c>
      <c r="D463" t="s">
        <v>10</v>
      </c>
      <c r="E463">
        <v>63</v>
      </c>
      <c r="F463" t="s">
        <v>16</v>
      </c>
      <c r="G463">
        <v>4</v>
      </c>
      <c r="H463">
        <v>300</v>
      </c>
      <c r="I463">
        <v>1200</v>
      </c>
    </row>
    <row r="464" spans="1:9">
      <c r="A464">
        <v>463</v>
      </c>
      <c r="B464" s="1">
        <v>45138</v>
      </c>
      <c r="C464" t="s">
        <v>476</v>
      </c>
      <c r="D464" t="s">
        <v>13</v>
      </c>
      <c r="E464">
        <v>54</v>
      </c>
      <c r="F464" t="s">
        <v>11</v>
      </c>
      <c r="G464">
        <v>3</v>
      </c>
      <c r="H464">
        <v>500</v>
      </c>
      <c r="I464">
        <v>1500</v>
      </c>
    </row>
    <row r="465" spans="1:9">
      <c r="A465">
        <v>464</v>
      </c>
      <c r="B465" s="1">
        <v>44939</v>
      </c>
      <c r="C465" t="s">
        <v>477</v>
      </c>
      <c r="D465" t="s">
        <v>10</v>
      </c>
      <c r="E465">
        <v>38</v>
      </c>
      <c r="F465" t="s">
        <v>16</v>
      </c>
      <c r="G465">
        <v>2</v>
      </c>
      <c r="H465">
        <v>300</v>
      </c>
      <c r="I465">
        <v>600</v>
      </c>
    </row>
    <row r="466" spans="1:9">
      <c r="A466">
        <v>465</v>
      </c>
      <c r="B466" s="1">
        <v>45018</v>
      </c>
      <c r="C466" t="s">
        <v>478</v>
      </c>
      <c r="D466" t="s">
        <v>13</v>
      </c>
      <c r="E466">
        <v>43</v>
      </c>
      <c r="F466" t="s">
        <v>16</v>
      </c>
      <c r="G466">
        <v>3</v>
      </c>
      <c r="H466">
        <v>50</v>
      </c>
      <c r="I466">
        <v>150</v>
      </c>
    </row>
    <row r="467" spans="1:9">
      <c r="A467">
        <v>466</v>
      </c>
      <c r="B467" s="1">
        <v>45097</v>
      </c>
      <c r="C467" t="s">
        <v>479</v>
      </c>
      <c r="D467" t="s">
        <v>10</v>
      </c>
      <c r="E467">
        <v>63</v>
      </c>
      <c r="F467" t="s">
        <v>16</v>
      </c>
      <c r="G467">
        <v>4</v>
      </c>
      <c r="H467">
        <v>25</v>
      </c>
      <c r="I467">
        <v>100</v>
      </c>
    </row>
    <row r="468" spans="1:9">
      <c r="A468">
        <v>467</v>
      </c>
      <c r="B468" s="1">
        <v>45137</v>
      </c>
      <c r="C468" t="s">
        <v>480</v>
      </c>
      <c r="D468" t="s">
        <v>13</v>
      </c>
      <c r="E468">
        <v>53</v>
      </c>
      <c r="F468" t="s">
        <v>16</v>
      </c>
      <c r="G468">
        <v>3</v>
      </c>
      <c r="H468">
        <v>50</v>
      </c>
      <c r="I468">
        <v>150</v>
      </c>
    </row>
    <row r="469" spans="1:9">
      <c r="A469">
        <v>468</v>
      </c>
      <c r="B469" s="1">
        <v>45269</v>
      </c>
      <c r="C469" t="s">
        <v>481</v>
      </c>
      <c r="D469" t="s">
        <v>10</v>
      </c>
      <c r="E469">
        <v>40</v>
      </c>
      <c r="F469" t="s">
        <v>16</v>
      </c>
      <c r="G469">
        <v>1</v>
      </c>
      <c r="H469">
        <v>25</v>
      </c>
      <c r="I469">
        <v>25</v>
      </c>
    </row>
    <row r="470" spans="1:9">
      <c r="A470">
        <v>469</v>
      </c>
      <c r="B470" s="1">
        <v>45054</v>
      </c>
      <c r="C470" t="s">
        <v>482</v>
      </c>
      <c r="D470" t="s">
        <v>10</v>
      </c>
      <c r="E470">
        <v>18</v>
      </c>
      <c r="F470" t="s">
        <v>11</v>
      </c>
      <c r="G470">
        <v>3</v>
      </c>
      <c r="H470">
        <v>25</v>
      </c>
      <c r="I470">
        <v>75</v>
      </c>
    </row>
    <row r="471" spans="1:9">
      <c r="A471">
        <v>470</v>
      </c>
      <c r="B471" s="1">
        <v>45063</v>
      </c>
      <c r="C471" t="s">
        <v>483</v>
      </c>
      <c r="D471" t="s">
        <v>13</v>
      </c>
      <c r="E471">
        <v>57</v>
      </c>
      <c r="F471" t="s">
        <v>14</v>
      </c>
      <c r="G471">
        <v>2</v>
      </c>
      <c r="H471">
        <v>500</v>
      </c>
      <c r="I471">
        <v>1000</v>
      </c>
    </row>
    <row r="472" spans="1:9">
      <c r="A472">
        <v>471</v>
      </c>
      <c r="B472" s="1">
        <v>45008</v>
      </c>
      <c r="C472" t="s">
        <v>484</v>
      </c>
      <c r="D472" t="s">
        <v>10</v>
      </c>
      <c r="E472">
        <v>32</v>
      </c>
      <c r="F472" t="s">
        <v>14</v>
      </c>
      <c r="G472">
        <v>3</v>
      </c>
      <c r="H472">
        <v>50</v>
      </c>
      <c r="I472">
        <v>150</v>
      </c>
    </row>
    <row r="473" spans="1:9">
      <c r="A473">
        <v>472</v>
      </c>
      <c r="B473" s="1">
        <v>45286</v>
      </c>
      <c r="C473" t="s">
        <v>485</v>
      </c>
      <c r="D473" t="s">
        <v>13</v>
      </c>
      <c r="E473">
        <v>38</v>
      </c>
      <c r="F473" t="s">
        <v>11</v>
      </c>
      <c r="G473">
        <v>3</v>
      </c>
      <c r="H473">
        <v>300</v>
      </c>
      <c r="I473">
        <v>900</v>
      </c>
    </row>
    <row r="474" spans="1:9">
      <c r="A474">
        <v>473</v>
      </c>
      <c r="B474" s="1">
        <v>44982</v>
      </c>
      <c r="C474" t="s">
        <v>486</v>
      </c>
      <c r="D474" t="s">
        <v>10</v>
      </c>
      <c r="E474">
        <v>64</v>
      </c>
      <c r="F474" t="s">
        <v>11</v>
      </c>
      <c r="G474">
        <v>1</v>
      </c>
      <c r="H474">
        <v>50</v>
      </c>
      <c r="I474">
        <v>50</v>
      </c>
    </row>
    <row r="475" spans="1:9">
      <c r="A475">
        <v>474</v>
      </c>
      <c r="B475" s="1">
        <v>45122</v>
      </c>
      <c r="C475" t="s">
        <v>487</v>
      </c>
      <c r="D475" t="s">
        <v>13</v>
      </c>
      <c r="E475">
        <v>26</v>
      </c>
      <c r="F475" t="s">
        <v>14</v>
      </c>
      <c r="G475">
        <v>3</v>
      </c>
      <c r="H475">
        <v>500</v>
      </c>
      <c r="I475">
        <v>1500</v>
      </c>
    </row>
    <row r="476" spans="1:9">
      <c r="A476">
        <v>475</v>
      </c>
      <c r="B476" s="1">
        <v>44946</v>
      </c>
      <c r="C476" t="s">
        <v>488</v>
      </c>
      <c r="D476" t="s">
        <v>10</v>
      </c>
      <c r="E476">
        <v>26</v>
      </c>
      <c r="F476" t="s">
        <v>14</v>
      </c>
      <c r="G476">
        <v>3</v>
      </c>
      <c r="H476">
        <v>25</v>
      </c>
      <c r="I476">
        <v>75</v>
      </c>
    </row>
    <row r="477" spans="1:9">
      <c r="A477">
        <v>476</v>
      </c>
      <c r="B477" s="1">
        <v>45167</v>
      </c>
      <c r="C477" t="s">
        <v>489</v>
      </c>
      <c r="D477" t="s">
        <v>13</v>
      </c>
      <c r="E477">
        <v>27</v>
      </c>
      <c r="F477" t="s">
        <v>14</v>
      </c>
      <c r="G477">
        <v>4</v>
      </c>
      <c r="H477">
        <v>500</v>
      </c>
      <c r="I477">
        <v>2000</v>
      </c>
    </row>
    <row r="478" spans="1:9">
      <c r="A478">
        <v>477</v>
      </c>
      <c r="B478" s="1">
        <v>45040</v>
      </c>
      <c r="C478" t="s">
        <v>490</v>
      </c>
      <c r="D478" t="s">
        <v>10</v>
      </c>
      <c r="E478">
        <v>43</v>
      </c>
      <c r="F478" t="s">
        <v>14</v>
      </c>
      <c r="G478">
        <v>4</v>
      </c>
      <c r="H478">
        <v>30</v>
      </c>
      <c r="I478">
        <v>120</v>
      </c>
    </row>
    <row r="479" spans="1:9">
      <c r="A479">
        <v>478</v>
      </c>
      <c r="B479" s="1">
        <v>45029</v>
      </c>
      <c r="C479" t="s">
        <v>491</v>
      </c>
      <c r="D479" t="s">
        <v>13</v>
      </c>
      <c r="E479">
        <v>58</v>
      </c>
      <c r="F479" t="s">
        <v>14</v>
      </c>
      <c r="G479">
        <v>2</v>
      </c>
      <c r="H479">
        <v>30</v>
      </c>
      <c r="I479">
        <v>60</v>
      </c>
    </row>
    <row r="480" spans="1:9">
      <c r="A480">
        <v>479</v>
      </c>
      <c r="B480" s="1">
        <v>45162</v>
      </c>
      <c r="C480" t="s">
        <v>492</v>
      </c>
      <c r="D480" t="s">
        <v>10</v>
      </c>
      <c r="E480">
        <v>52</v>
      </c>
      <c r="F480" t="s">
        <v>16</v>
      </c>
      <c r="G480">
        <v>4</v>
      </c>
      <c r="H480">
        <v>300</v>
      </c>
      <c r="I480">
        <v>1200</v>
      </c>
    </row>
    <row r="481" spans="1:9">
      <c r="A481">
        <v>480</v>
      </c>
      <c r="B481" s="1">
        <v>45106</v>
      </c>
      <c r="C481" t="s">
        <v>493</v>
      </c>
      <c r="D481" t="s">
        <v>13</v>
      </c>
      <c r="E481">
        <v>42</v>
      </c>
      <c r="F481" t="s">
        <v>11</v>
      </c>
      <c r="G481">
        <v>4</v>
      </c>
      <c r="H481">
        <v>500</v>
      </c>
      <c r="I481">
        <v>2000</v>
      </c>
    </row>
    <row r="482" spans="1:9">
      <c r="A482">
        <v>481</v>
      </c>
      <c r="B482" s="1">
        <v>45083</v>
      </c>
      <c r="C482" t="s">
        <v>494</v>
      </c>
      <c r="D482" t="s">
        <v>13</v>
      </c>
      <c r="E482">
        <v>43</v>
      </c>
      <c r="F482" t="s">
        <v>16</v>
      </c>
      <c r="G482">
        <v>4</v>
      </c>
      <c r="H482">
        <v>300</v>
      </c>
      <c r="I482">
        <v>1200</v>
      </c>
    </row>
    <row r="483" spans="1:9">
      <c r="A483">
        <v>482</v>
      </c>
      <c r="B483" s="1">
        <v>45043</v>
      </c>
      <c r="C483" t="s">
        <v>495</v>
      </c>
      <c r="D483" t="s">
        <v>13</v>
      </c>
      <c r="E483">
        <v>28</v>
      </c>
      <c r="F483" t="s">
        <v>14</v>
      </c>
      <c r="G483">
        <v>4</v>
      </c>
      <c r="H483">
        <v>300</v>
      </c>
      <c r="I483">
        <v>1200</v>
      </c>
    </row>
    <row r="484" spans="1:9">
      <c r="A484">
        <v>483</v>
      </c>
      <c r="B484" s="1">
        <v>45041</v>
      </c>
      <c r="C484" t="s">
        <v>496</v>
      </c>
      <c r="D484" t="s">
        <v>10</v>
      </c>
      <c r="E484">
        <v>55</v>
      </c>
      <c r="F484" t="s">
        <v>14</v>
      </c>
      <c r="G484">
        <v>1</v>
      </c>
      <c r="H484">
        <v>30</v>
      </c>
      <c r="I484">
        <v>30</v>
      </c>
    </row>
    <row r="485" spans="1:9">
      <c r="A485">
        <v>484</v>
      </c>
      <c r="B485" s="1">
        <v>44939</v>
      </c>
      <c r="C485" t="s">
        <v>497</v>
      </c>
      <c r="D485" t="s">
        <v>13</v>
      </c>
      <c r="E485">
        <v>19</v>
      </c>
      <c r="F485" t="s">
        <v>14</v>
      </c>
      <c r="G485">
        <v>4</v>
      </c>
      <c r="H485">
        <v>300</v>
      </c>
      <c r="I485">
        <v>1200</v>
      </c>
    </row>
    <row r="486" spans="1:9">
      <c r="A486">
        <v>485</v>
      </c>
      <c r="B486" s="1">
        <v>45264</v>
      </c>
      <c r="C486" t="s">
        <v>498</v>
      </c>
      <c r="D486" t="s">
        <v>10</v>
      </c>
      <c r="E486">
        <v>24</v>
      </c>
      <c r="F486" t="s">
        <v>16</v>
      </c>
      <c r="G486">
        <v>1</v>
      </c>
      <c r="H486">
        <v>30</v>
      </c>
      <c r="I486">
        <v>30</v>
      </c>
    </row>
    <row r="487" spans="1:9">
      <c r="A487">
        <v>486</v>
      </c>
      <c r="B487" s="1">
        <v>45025</v>
      </c>
      <c r="C487" t="s">
        <v>499</v>
      </c>
      <c r="D487" t="s">
        <v>13</v>
      </c>
      <c r="E487">
        <v>35</v>
      </c>
      <c r="F487" t="s">
        <v>16</v>
      </c>
      <c r="G487">
        <v>1</v>
      </c>
      <c r="H487">
        <v>25</v>
      </c>
      <c r="I487">
        <v>25</v>
      </c>
    </row>
    <row r="488" spans="1:9">
      <c r="A488">
        <v>487</v>
      </c>
      <c r="B488" s="1">
        <v>45131</v>
      </c>
      <c r="C488" t="s">
        <v>500</v>
      </c>
      <c r="D488" t="s">
        <v>10</v>
      </c>
      <c r="E488">
        <v>44</v>
      </c>
      <c r="F488" t="s">
        <v>14</v>
      </c>
      <c r="G488">
        <v>4</v>
      </c>
      <c r="H488">
        <v>500</v>
      </c>
      <c r="I488">
        <v>2000</v>
      </c>
    </row>
    <row r="489" spans="1:9">
      <c r="A489">
        <v>488</v>
      </c>
      <c r="B489" s="1">
        <v>45095</v>
      </c>
      <c r="C489" t="s">
        <v>501</v>
      </c>
      <c r="D489" t="s">
        <v>13</v>
      </c>
      <c r="E489">
        <v>51</v>
      </c>
      <c r="F489" t="s">
        <v>16</v>
      </c>
      <c r="G489">
        <v>3</v>
      </c>
      <c r="H489">
        <v>300</v>
      </c>
      <c r="I489">
        <v>900</v>
      </c>
    </row>
    <row r="490" spans="1:9">
      <c r="A490">
        <v>489</v>
      </c>
      <c r="B490" s="1">
        <v>45069</v>
      </c>
      <c r="C490" t="s">
        <v>502</v>
      </c>
      <c r="D490" t="s">
        <v>10</v>
      </c>
      <c r="E490">
        <v>44</v>
      </c>
      <c r="F490" t="s">
        <v>16</v>
      </c>
      <c r="G490">
        <v>1</v>
      </c>
      <c r="H490">
        <v>30</v>
      </c>
      <c r="I490">
        <v>30</v>
      </c>
    </row>
    <row r="491" spans="1:9">
      <c r="A491">
        <v>490</v>
      </c>
      <c r="B491" s="1">
        <v>44962</v>
      </c>
      <c r="C491" t="s">
        <v>503</v>
      </c>
      <c r="D491" t="s">
        <v>10</v>
      </c>
      <c r="E491">
        <v>34</v>
      </c>
      <c r="F491" t="s">
        <v>14</v>
      </c>
      <c r="G491">
        <v>3</v>
      </c>
      <c r="H491">
        <v>50</v>
      </c>
      <c r="I491">
        <v>150</v>
      </c>
    </row>
    <row r="492" spans="1:9">
      <c r="A492">
        <v>491</v>
      </c>
      <c r="B492" s="1">
        <v>45069</v>
      </c>
      <c r="C492" t="s">
        <v>504</v>
      </c>
      <c r="D492" t="s">
        <v>13</v>
      </c>
      <c r="E492">
        <v>60</v>
      </c>
      <c r="F492" t="s">
        <v>16</v>
      </c>
      <c r="G492">
        <v>3</v>
      </c>
      <c r="H492">
        <v>300</v>
      </c>
      <c r="I492">
        <v>900</v>
      </c>
    </row>
    <row r="493" spans="1:9">
      <c r="A493">
        <v>492</v>
      </c>
      <c r="B493" s="1">
        <v>45106</v>
      </c>
      <c r="C493" t="s">
        <v>505</v>
      </c>
      <c r="D493" t="s">
        <v>10</v>
      </c>
      <c r="E493">
        <v>61</v>
      </c>
      <c r="F493" t="s">
        <v>11</v>
      </c>
      <c r="G493">
        <v>4</v>
      </c>
      <c r="H493">
        <v>25</v>
      </c>
      <c r="I493">
        <v>100</v>
      </c>
    </row>
    <row r="494" spans="1:9">
      <c r="A494">
        <v>493</v>
      </c>
      <c r="B494" s="1">
        <v>45255</v>
      </c>
      <c r="C494" t="s">
        <v>506</v>
      </c>
      <c r="D494" t="s">
        <v>10</v>
      </c>
      <c r="E494">
        <v>41</v>
      </c>
      <c r="F494" t="s">
        <v>11</v>
      </c>
      <c r="G494">
        <v>2</v>
      </c>
      <c r="H494">
        <v>25</v>
      </c>
      <c r="I494">
        <v>50</v>
      </c>
    </row>
    <row r="495" spans="1:9">
      <c r="A495">
        <v>494</v>
      </c>
      <c r="B495" s="1">
        <v>45187</v>
      </c>
      <c r="C495" t="s">
        <v>507</v>
      </c>
      <c r="D495" t="s">
        <v>13</v>
      </c>
      <c r="E495">
        <v>42</v>
      </c>
      <c r="F495" t="s">
        <v>11</v>
      </c>
      <c r="G495">
        <v>4</v>
      </c>
      <c r="H495">
        <v>50</v>
      </c>
      <c r="I495">
        <v>200</v>
      </c>
    </row>
    <row r="496" spans="1:9">
      <c r="A496">
        <v>495</v>
      </c>
      <c r="B496" s="1">
        <v>45131</v>
      </c>
      <c r="C496" t="s">
        <v>508</v>
      </c>
      <c r="D496" t="s">
        <v>10</v>
      </c>
      <c r="E496">
        <v>24</v>
      </c>
      <c r="F496" t="s">
        <v>11</v>
      </c>
      <c r="G496">
        <v>2</v>
      </c>
      <c r="H496">
        <v>30</v>
      </c>
      <c r="I496">
        <v>60</v>
      </c>
    </row>
    <row r="497" spans="1:9">
      <c r="A497">
        <v>496</v>
      </c>
      <c r="B497" s="1">
        <v>45274</v>
      </c>
      <c r="C497" t="s">
        <v>509</v>
      </c>
      <c r="D497" t="s">
        <v>10</v>
      </c>
      <c r="E497">
        <v>23</v>
      </c>
      <c r="F497" t="s">
        <v>14</v>
      </c>
      <c r="G497">
        <v>2</v>
      </c>
      <c r="H497">
        <v>300</v>
      </c>
      <c r="I497">
        <v>600</v>
      </c>
    </row>
    <row r="498" spans="1:9">
      <c r="A498">
        <v>497</v>
      </c>
      <c r="B498" s="1">
        <v>45201</v>
      </c>
      <c r="C498" t="s">
        <v>510</v>
      </c>
      <c r="D498" t="s">
        <v>10</v>
      </c>
      <c r="E498">
        <v>41</v>
      </c>
      <c r="F498" t="s">
        <v>14</v>
      </c>
      <c r="G498">
        <v>4</v>
      </c>
      <c r="H498">
        <v>30</v>
      </c>
      <c r="I498">
        <v>120</v>
      </c>
    </row>
    <row r="499" spans="1:9">
      <c r="A499">
        <v>498</v>
      </c>
      <c r="B499" s="1">
        <v>45096</v>
      </c>
      <c r="C499" t="s">
        <v>511</v>
      </c>
      <c r="D499" t="s">
        <v>13</v>
      </c>
      <c r="E499">
        <v>50</v>
      </c>
      <c r="F499" t="s">
        <v>14</v>
      </c>
      <c r="G499">
        <v>4</v>
      </c>
      <c r="H499">
        <v>25</v>
      </c>
      <c r="I499">
        <v>100</v>
      </c>
    </row>
    <row r="500" spans="1:9">
      <c r="A500">
        <v>499</v>
      </c>
      <c r="B500" s="1">
        <v>44941</v>
      </c>
      <c r="C500" t="s">
        <v>512</v>
      </c>
      <c r="D500" t="s">
        <v>10</v>
      </c>
      <c r="E500">
        <v>46</v>
      </c>
      <c r="F500" t="s">
        <v>11</v>
      </c>
      <c r="G500">
        <v>2</v>
      </c>
      <c r="H500">
        <v>30</v>
      </c>
      <c r="I500">
        <v>60</v>
      </c>
    </row>
    <row r="501" spans="1:9">
      <c r="A501">
        <v>500</v>
      </c>
      <c r="B501" s="1">
        <v>44986</v>
      </c>
      <c r="C501" t="s">
        <v>513</v>
      </c>
      <c r="D501" t="s">
        <v>13</v>
      </c>
      <c r="E501">
        <v>60</v>
      </c>
      <c r="F501" t="s">
        <v>11</v>
      </c>
      <c r="G501">
        <v>4</v>
      </c>
      <c r="H501">
        <v>25</v>
      </c>
      <c r="I501">
        <v>100</v>
      </c>
    </row>
    <row r="502" spans="1:9">
      <c r="A502">
        <v>501</v>
      </c>
      <c r="B502" s="1">
        <v>45060</v>
      </c>
      <c r="C502" t="s">
        <v>514</v>
      </c>
      <c r="D502" t="s">
        <v>10</v>
      </c>
      <c r="E502">
        <v>39</v>
      </c>
      <c r="F502" t="s">
        <v>16</v>
      </c>
      <c r="G502">
        <v>2</v>
      </c>
      <c r="H502">
        <v>30</v>
      </c>
      <c r="I502">
        <v>60</v>
      </c>
    </row>
    <row r="503" spans="1:9">
      <c r="A503">
        <v>502</v>
      </c>
      <c r="B503" s="1">
        <v>45018</v>
      </c>
      <c r="C503" t="s">
        <v>515</v>
      </c>
      <c r="D503" t="s">
        <v>10</v>
      </c>
      <c r="E503">
        <v>43</v>
      </c>
      <c r="F503" t="s">
        <v>16</v>
      </c>
      <c r="G503">
        <v>3</v>
      </c>
      <c r="H503">
        <v>50</v>
      </c>
      <c r="I503">
        <v>150</v>
      </c>
    </row>
    <row r="504" spans="1:9">
      <c r="A504">
        <v>503</v>
      </c>
      <c r="B504" s="1">
        <v>45224</v>
      </c>
      <c r="C504" t="s">
        <v>516</v>
      </c>
      <c r="D504" t="s">
        <v>10</v>
      </c>
      <c r="E504">
        <v>45</v>
      </c>
      <c r="F504" t="s">
        <v>11</v>
      </c>
      <c r="G504">
        <v>4</v>
      </c>
      <c r="H504">
        <v>500</v>
      </c>
      <c r="I504">
        <v>2000</v>
      </c>
    </row>
    <row r="505" spans="1:9">
      <c r="A505">
        <v>504</v>
      </c>
      <c r="B505" s="1">
        <v>45062</v>
      </c>
      <c r="C505" t="s">
        <v>517</v>
      </c>
      <c r="D505" t="s">
        <v>13</v>
      </c>
      <c r="E505">
        <v>38</v>
      </c>
      <c r="F505" t="s">
        <v>11</v>
      </c>
      <c r="G505">
        <v>3</v>
      </c>
      <c r="H505">
        <v>50</v>
      </c>
      <c r="I505">
        <v>150</v>
      </c>
    </row>
    <row r="506" spans="1:9">
      <c r="A506">
        <v>505</v>
      </c>
      <c r="B506" s="1">
        <v>44946</v>
      </c>
      <c r="C506" t="s">
        <v>518</v>
      </c>
      <c r="D506" t="s">
        <v>10</v>
      </c>
      <c r="E506">
        <v>24</v>
      </c>
      <c r="F506" t="s">
        <v>11</v>
      </c>
      <c r="G506">
        <v>1</v>
      </c>
      <c r="H506">
        <v>50</v>
      </c>
      <c r="I506">
        <v>50</v>
      </c>
    </row>
    <row r="507" spans="1:9">
      <c r="A507">
        <v>506</v>
      </c>
      <c r="B507" s="1">
        <v>44982</v>
      </c>
      <c r="C507" t="s">
        <v>519</v>
      </c>
      <c r="D507" t="s">
        <v>10</v>
      </c>
      <c r="E507">
        <v>34</v>
      </c>
      <c r="F507" t="s">
        <v>11</v>
      </c>
      <c r="G507">
        <v>3</v>
      </c>
      <c r="H507">
        <v>500</v>
      </c>
      <c r="I507">
        <v>1500</v>
      </c>
    </row>
    <row r="508" spans="1:9">
      <c r="A508">
        <v>507</v>
      </c>
      <c r="B508" s="1">
        <v>45232</v>
      </c>
      <c r="C508" t="s">
        <v>520</v>
      </c>
      <c r="D508" t="s">
        <v>13</v>
      </c>
      <c r="E508">
        <v>37</v>
      </c>
      <c r="F508" t="s">
        <v>16</v>
      </c>
      <c r="G508">
        <v>3</v>
      </c>
      <c r="H508">
        <v>500</v>
      </c>
      <c r="I508">
        <v>1500</v>
      </c>
    </row>
    <row r="509" spans="1:9">
      <c r="A509">
        <v>508</v>
      </c>
      <c r="B509" s="1">
        <v>45149</v>
      </c>
      <c r="C509" t="s">
        <v>521</v>
      </c>
      <c r="D509" t="s">
        <v>10</v>
      </c>
      <c r="E509">
        <v>58</v>
      </c>
      <c r="F509" t="s">
        <v>11</v>
      </c>
      <c r="G509">
        <v>2</v>
      </c>
      <c r="H509">
        <v>300</v>
      </c>
      <c r="I509">
        <v>600</v>
      </c>
    </row>
    <row r="510" spans="1:9">
      <c r="A510">
        <v>509</v>
      </c>
      <c r="B510" s="1">
        <v>45103</v>
      </c>
      <c r="C510" t="s">
        <v>522</v>
      </c>
      <c r="D510" t="s">
        <v>13</v>
      </c>
      <c r="E510">
        <v>37</v>
      </c>
      <c r="F510" t="s">
        <v>16</v>
      </c>
      <c r="G510">
        <v>3</v>
      </c>
      <c r="H510">
        <v>300</v>
      </c>
      <c r="I510">
        <v>900</v>
      </c>
    </row>
    <row r="511" spans="1:9">
      <c r="A511">
        <v>510</v>
      </c>
      <c r="B511" s="1">
        <v>45087</v>
      </c>
      <c r="C511" t="s">
        <v>523</v>
      </c>
      <c r="D511" t="s">
        <v>13</v>
      </c>
      <c r="E511">
        <v>39</v>
      </c>
      <c r="F511" t="s">
        <v>11</v>
      </c>
      <c r="G511">
        <v>4</v>
      </c>
      <c r="H511">
        <v>50</v>
      </c>
      <c r="I511">
        <v>200</v>
      </c>
    </row>
    <row r="512" spans="1:9">
      <c r="A512">
        <v>511</v>
      </c>
      <c r="B512" s="1">
        <v>45150</v>
      </c>
      <c r="C512" t="s">
        <v>524</v>
      </c>
      <c r="D512" t="s">
        <v>10</v>
      </c>
      <c r="E512">
        <v>45</v>
      </c>
      <c r="F512" t="s">
        <v>11</v>
      </c>
      <c r="G512">
        <v>2</v>
      </c>
      <c r="H512">
        <v>50</v>
      </c>
      <c r="I512">
        <v>100</v>
      </c>
    </row>
    <row r="513" spans="1:9">
      <c r="A513">
        <v>512</v>
      </c>
      <c r="B513" s="1">
        <v>45237</v>
      </c>
      <c r="C513" t="s">
        <v>525</v>
      </c>
      <c r="D513" t="s">
        <v>13</v>
      </c>
      <c r="E513">
        <v>57</v>
      </c>
      <c r="F513" t="s">
        <v>11</v>
      </c>
      <c r="G513">
        <v>1</v>
      </c>
      <c r="H513">
        <v>25</v>
      </c>
      <c r="I513">
        <v>25</v>
      </c>
    </row>
    <row r="514" spans="1:9">
      <c r="A514">
        <v>513</v>
      </c>
      <c r="B514" s="1">
        <v>45188</v>
      </c>
      <c r="C514" t="s">
        <v>526</v>
      </c>
      <c r="D514" t="s">
        <v>10</v>
      </c>
      <c r="E514">
        <v>24</v>
      </c>
      <c r="F514" t="s">
        <v>16</v>
      </c>
      <c r="G514">
        <v>4</v>
      </c>
      <c r="H514">
        <v>25</v>
      </c>
      <c r="I514">
        <v>100</v>
      </c>
    </row>
    <row r="515" spans="1:9">
      <c r="A515">
        <v>514</v>
      </c>
      <c r="B515" s="1">
        <v>44986</v>
      </c>
      <c r="C515" t="s">
        <v>527</v>
      </c>
      <c r="D515" t="s">
        <v>13</v>
      </c>
      <c r="E515">
        <v>18</v>
      </c>
      <c r="F515" t="s">
        <v>16</v>
      </c>
      <c r="G515">
        <v>1</v>
      </c>
      <c r="H515">
        <v>300</v>
      </c>
      <c r="I515">
        <v>300</v>
      </c>
    </row>
    <row r="516" spans="1:9">
      <c r="A516">
        <v>515</v>
      </c>
      <c r="B516" s="1">
        <v>45124</v>
      </c>
      <c r="C516" t="s">
        <v>528</v>
      </c>
      <c r="D516" t="s">
        <v>13</v>
      </c>
      <c r="E516">
        <v>49</v>
      </c>
      <c r="F516" t="s">
        <v>14</v>
      </c>
      <c r="G516">
        <v>3</v>
      </c>
      <c r="H516">
        <v>300</v>
      </c>
      <c r="I516">
        <v>900</v>
      </c>
    </row>
    <row r="517" spans="1:9">
      <c r="A517">
        <v>516</v>
      </c>
      <c r="B517" s="1">
        <v>45222</v>
      </c>
      <c r="C517" t="s">
        <v>529</v>
      </c>
      <c r="D517" t="s">
        <v>10</v>
      </c>
      <c r="E517">
        <v>30</v>
      </c>
      <c r="F517" t="s">
        <v>11</v>
      </c>
      <c r="G517">
        <v>4</v>
      </c>
      <c r="H517">
        <v>25</v>
      </c>
      <c r="I517">
        <v>100</v>
      </c>
    </row>
    <row r="518" spans="1:9">
      <c r="A518">
        <v>517</v>
      </c>
      <c r="B518" s="1">
        <v>45024</v>
      </c>
      <c r="C518" t="s">
        <v>530</v>
      </c>
      <c r="D518" t="s">
        <v>13</v>
      </c>
      <c r="E518">
        <v>47</v>
      </c>
      <c r="F518" t="s">
        <v>14</v>
      </c>
      <c r="G518">
        <v>4</v>
      </c>
      <c r="H518">
        <v>25</v>
      </c>
      <c r="I518">
        <v>100</v>
      </c>
    </row>
    <row r="519" spans="1:9">
      <c r="A519">
        <v>518</v>
      </c>
      <c r="B519" s="1">
        <v>45057</v>
      </c>
      <c r="C519" t="s">
        <v>531</v>
      </c>
      <c r="D519" t="s">
        <v>13</v>
      </c>
      <c r="E519">
        <v>40</v>
      </c>
      <c r="F519" t="s">
        <v>14</v>
      </c>
      <c r="G519">
        <v>1</v>
      </c>
      <c r="H519">
        <v>30</v>
      </c>
      <c r="I519">
        <v>30</v>
      </c>
    </row>
    <row r="520" spans="1:9">
      <c r="A520">
        <v>519</v>
      </c>
      <c r="B520" s="1">
        <v>44949</v>
      </c>
      <c r="C520" t="s">
        <v>532</v>
      </c>
      <c r="D520" t="s">
        <v>13</v>
      </c>
      <c r="E520">
        <v>36</v>
      </c>
      <c r="F520" t="s">
        <v>16</v>
      </c>
      <c r="G520">
        <v>4</v>
      </c>
      <c r="H520">
        <v>30</v>
      </c>
      <c r="I520">
        <v>120</v>
      </c>
    </row>
    <row r="521" spans="1:9">
      <c r="A521">
        <v>520</v>
      </c>
      <c r="B521" s="1">
        <v>45289</v>
      </c>
      <c r="C521" t="s">
        <v>533</v>
      </c>
      <c r="D521" t="s">
        <v>13</v>
      </c>
      <c r="E521">
        <v>49</v>
      </c>
      <c r="F521" t="s">
        <v>16</v>
      </c>
      <c r="G521">
        <v>4</v>
      </c>
      <c r="H521">
        <v>25</v>
      </c>
      <c r="I521">
        <v>100</v>
      </c>
    </row>
    <row r="522" spans="1:9">
      <c r="A522">
        <v>521</v>
      </c>
      <c r="B522" s="1">
        <v>45150</v>
      </c>
      <c r="C522" t="s">
        <v>534</v>
      </c>
      <c r="D522" t="s">
        <v>13</v>
      </c>
      <c r="E522">
        <v>47</v>
      </c>
      <c r="F522" t="s">
        <v>14</v>
      </c>
      <c r="G522">
        <v>4</v>
      </c>
      <c r="H522">
        <v>30</v>
      </c>
      <c r="I522">
        <v>120</v>
      </c>
    </row>
    <row r="523" spans="1:9">
      <c r="A523">
        <v>522</v>
      </c>
      <c r="B523" s="1">
        <v>44927</v>
      </c>
      <c r="C523" t="s">
        <v>535</v>
      </c>
      <c r="D523" t="s">
        <v>10</v>
      </c>
      <c r="E523">
        <v>46</v>
      </c>
      <c r="F523" t="s">
        <v>11</v>
      </c>
      <c r="G523">
        <v>3</v>
      </c>
      <c r="H523">
        <v>500</v>
      </c>
      <c r="I523">
        <v>1500</v>
      </c>
    </row>
    <row r="524" spans="1:9">
      <c r="A524">
        <v>523</v>
      </c>
      <c r="B524" s="1">
        <v>45193</v>
      </c>
      <c r="C524" t="s">
        <v>536</v>
      </c>
      <c r="D524" t="s">
        <v>13</v>
      </c>
      <c r="E524">
        <v>62</v>
      </c>
      <c r="F524" t="s">
        <v>16</v>
      </c>
      <c r="G524">
        <v>1</v>
      </c>
      <c r="H524">
        <v>300</v>
      </c>
      <c r="I524">
        <v>300</v>
      </c>
    </row>
    <row r="525" spans="1:9">
      <c r="A525">
        <v>524</v>
      </c>
      <c r="B525" s="1">
        <v>45202</v>
      </c>
      <c r="C525" t="s">
        <v>537</v>
      </c>
      <c r="D525" t="s">
        <v>10</v>
      </c>
      <c r="E525">
        <v>46</v>
      </c>
      <c r="F525" t="s">
        <v>11</v>
      </c>
      <c r="G525">
        <v>4</v>
      </c>
      <c r="H525">
        <v>300</v>
      </c>
      <c r="I525">
        <v>1200</v>
      </c>
    </row>
    <row r="526" spans="1:9">
      <c r="A526">
        <v>525</v>
      </c>
      <c r="B526" s="1">
        <v>45278</v>
      </c>
      <c r="C526" t="s">
        <v>538</v>
      </c>
      <c r="D526" t="s">
        <v>13</v>
      </c>
      <c r="E526">
        <v>47</v>
      </c>
      <c r="F526" t="s">
        <v>11</v>
      </c>
      <c r="G526">
        <v>2</v>
      </c>
      <c r="H526">
        <v>25</v>
      </c>
      <c r="I526">
        <v>50</v>
      </c>
    </row>
    <row r="527" spans="1:9">
      <c r="A527">
        <v>526</v>
      </c>
      <c r="B527" s="1">
        <v>45270</v>
      </c>
      <c r="C527" t="s">
        <v>539</v>
      </c>
      <c r="D527" t="s">
        <v>10</v>
      </c>
      <c r="E527">
        <v>33</v>
      </c>
      <c r="F527" t="s">
        <v>14</v>
      </c>
      <c r="G527">
        <v>2</v>
      </c>
      <c r="H527">
        <v>50</v>
      </c>
      <c r="I527">
        <v>100</v>
      </c>
    </row>
    <row r="528" spans="1:9">
      <c r="A528">
        <v>527</v>
      </c>
      <c r="B528" s="1">
        <v>45027</v>
      </c>
      <c r="C528" t="s">
        <v>540</v>
      </c>
      <c r="D528" t="s">
        <v>10</v>
      </c>
      <c r="E528">
        <v>57</v>
      </c>
      <c r="F528" t="s">
        <v>14</v>
      </c>
      <c r="G528">
        <v>2</v>
      </c>
      <c r="H528">
        <v>25</v>
      </c>
      <c r="I528">
        <v>50</v>
      </c>
    </row>
    <row r="529" spans="1:9">
      <c r="A529">
        <v>528</v>
      </c>
      <c r="B529" s="1">
        <v>45113</v>
      </c>
      <c r="C529" t="s">
        <v>541</v>
      </c>
      <c r="D529" t="s">
        <v>13</v>
      </c>
      <c r="E529">
        <v>36</v>
      </c>
      <c r="F529" t="s">
        <v>14</v>
      </c>
      <c r="G529">
        <v>2</v>
      </c>
      <c r="H529">
        <v>30</v>
      </c>
      <c r="I529">
        <v>60</v>
      </c>
    </row>
    <row r="530" spans="1:9">
      <c r="A530">
        <v>529</v>
      </c>
      <c r="B530" s="1">
        <v>45147</v>
      </c>
      <c r="C530" t="s">
        <v>542</v>
      </c>
      <c r="D530" t="s">
        <v>13</v>
      </c>
      <c r="E530">
        <v>35</v>
      </c>
      <c r="F530" t="s">
        <v>14</v>
      </c>
      <c r="G530">
        <v>3</v>
      </c>
      <c r="H530">
        <v>50</v>
      </c>
      <c r="I530">
        <v>150</v>
      </c>
    </row>
    <row r="531" spans="1:9">
      <c r="A531">
        <v>530</v>
      </c>
      <c r="B531" s="1">
        <v>44962</v>
      </c>
      <c r="C531" t="s">
        <v>543</v>
      </c>
      <c r="D531" t="s">
        <v>13</v>
      </c>
      <c r="E531">
        <v>18</v>
      </c>
      <c r="F531" t="s">
        <v>16</v>
      </c>
      <c r="G531">
        <v>4</v>
      </c>
      <c r="H531">
        <v>30</v>
      </c>
      <c r="I531">
        <v>120</v>
      </c>
    </row>
    <row r="532" spans="1:9">
      <c r="A532">
        <v>531</v>
      </c>
      <c r="B532" s="1">
        <v>45267</v>
      </c>
      <c r="C532" t="s">
        <v>544</v>
      </c>
      <c r="D532" t="s">
        <v>10</v>
      </c>
      <c r="E532">
        <v>31</v>
      </c>
      <c r="F532" t="s">
        <v>16</v>
      </c>
      <c r="G532">
        <v>1</v>
      </c>
      <c r="H532">
        <v>500</v>
      </c>
      <c r="I532">
        <v>500</v>
      </c>
    </row>
    <row r="533" spans="1:9">
      <c r="A533">
        <v>532</v>
      </c>
      <c r="B533" s="1">
        <v>45096</v>
      </c>
      <c r="C533" t="s">
        <v>545</v>
      </c>
      <c r="D533" t="s">
        <v>13</v>
      </c>
      <c r="E533">
        <v>64</v>
      </c>
      <c r="F533" t="s">
        <v>14</v>
      </c>
      <c r="G533">
        <v>4</v>
      </c>
      <c r="H533">
        <v>30</v>
      </c>
      <c r="I533">
        <v>120</v>
      </c>
    </row>
    <row r="534" spans="1:9">
      <c r="A534">
        <v>533</v>
      </c>
      <c r="B534" s="1">
        <v>45246</v>
      </c>
      <c r="C534" t="s">
        <v>546</v>
      </c>
      <c r="D534" t="s">
        <v>10</v>
      </c>
      <c r="E534">
        <v>19</v>
      </c>
      <c r="F534" t="s">
        <v>16</v>
      </c>
      <c r="G534">
        <v>3</v>
      </c>
      <c r="H534">
        <v>500</v>
      </c>
      <c r="I534">
        <v>1500</v>
      </c>
    </row>
    <row r="535" spans="1:9">
      <c r="A535">
        <v>534</v>
      </c>
      <c r="B535" s="1">
        <v>45087</v>
      </c>
      <c r="C535" t="s">
        <v>547</v>
      </c>
      <c r="D535" t="s">
        <v>10</v>
      </c>
      <c r="E535">
        <v>45</v>
      </c>
      <c r="F535" t="s">
        <v>14</v>
      </c>
      <c r="G535">
        <v>2</v>
      </c>
      <c r="H535">
        <v>500</v>
      </c>
      <c r="I535">
        <v>1000</v>
      </c>
    </row>
    <row r="536" spans="1:9">
      <c r="A536">
        <v>535</v>
      </c>
      <c r="B536" s="1">
        <v>45266</v>
      </c>
      <c r="C536" t="s">
        <v>548</v>
      </c>
      <c r="D536" t="s">
        <v>10</v>
      </c>
      <c r="E536">
        <v>47</v>
      </c>
      <c r="F536" t="s">
        <v>11</v>
      </c>
      <c r="G536">
        <v>3</v>
      </c>
      <c r="H536">
        <v>30</v>
      </c>
      <c r="I536">
        <v>90</v>
      </c>
    </row>
    <row r="537" spans="1:9">
      <c r="A537">
        <v>536</v>
      </c>
      <c r="B537" s="1">
        <v>44990</v>
      </c>
      <c r="C537" t="s">
        <v>549</v>
      </c>
      <c r="D537" t="s">
        <v>13</v>
      </c>
      <c r="E537">
        <v>55</v>
      </c>
      <c r="F537" t="s">
        <v>11</v>
      </c>
      <c r="G537">
        <v>4</v>
      </c>
      <c r="H537">
        <v>30</v>
      </c>
      <c r="I537">
        <v>120</v>
      </c>
    </row>
    <row r="538" spans="1:9">
      <c r="A538">
        <v>537</v>
      </c>
      <c r="B538" s="1">
        <v>45080</v>
      </c>
      <c r="C538" t="s">
        <v>550</v>
      </c>
      <c r="D538" t="s">
        <v>13</v>
      </c>
      <c r="E538">
        <v>21</v>
      </c>
      <c r="F538" t="s">
        <v>11</v>
      </c>
      <c r="G538">
        <v>1</v>
      </c>
      <c r="H538">
        <v>500</v>
      </c>
      <c r="I538">
        <v>500</v>
      </c>
    </row>
    <row r="539" spans="1:9">
      <c r="A539">
        <v>538</v>
      </c>
      <c r="B539" s="1">
        <v>45186</v>
      </c>
      <c r="C539" t="s">
        <v>551</v>
      </c>
      <c r="D539" t="s">
        <v>10</v>
      </c>
      <c r="E539">
        <v>18</v>
      </c>
      <c r="F539" t="s">
        <v>14</v>
      </c>
      <c r="G539">
        <v>3</v>
      </c>
      <c r="H539">
        <v>50</v>
      </c>
      <c r="I539">
        <v>150</v>
      </c>
    </row>
    <row r="540" spans="1:9">
      <c r="A540">
        <v>539</v>
      </c>
      <c r="B540" s="1">
        <v>45085</v>
      </c>
      <c r="C540" t="s">
        <v>552</v>
      </c>
      <c r="D540" t="s">
        <v>10</v>
      </c>
      <c r="E540">
        <v>25</v>
      </c>
      <c r="F540" t="s">
        <v>11</v>
      </c>
      <c r="G540">
        <v>1</v>
      </c>
      <c r="H540">
        <v>500</v>
      </c>
      <c r="I540">
        <v>500</v>
      </c>
    </row>
    <row r="541" spans="1:9">
      <c r="A541">
        <v>540</v>
      </c>
      <c r="B541" s="1">
        <v>45268</v>
      </c>
      <c r="C541" t="s">
        <v>553</v>
      </c>
      <c r="D541" t="s">
        <v>13</v>
      </c>
      <c r="E541">
        <v>46</v>
      </c>
      <c r="F541" t="s">
        <v>16</v>
      </c>
      <c r="G541">
        <v>3</v>
      </c>
      <c r="H541">
        <v>300</v>
      </c>
      <c r="I541">
        <v>900</v>
      </c>
    </row>
    <row r="542" spans="1:9">
      <c r="A542">
        <v>541</v>
      </c>
      <c r="B542" s="1">
        <v>45136</v>
      </c>
      <c r="C542" t="s">
        <v>554</v>
      </c>
      <c r="D542" t="s">
        <v>10</v>
      </c>
      <c r="E542">
        <v>56</v>
      </c>
      <c r="F542" t="s">
        <v>11</v>
      </c>
      <c r="G542">
        <v>1</v>
      </c>
      <c r="H542">
        <v>500</v>
      </c>
      <c r="I542">
        <v>500</v>
      </c>
    </row>
    <row r="543" spans="1:9">
      <c r="A543">
        <v>542</v>
      </c>
      <c r="B543" s="1">
        <v>45094</v>
      </c>
      <c r="C543" t="s">
        <v>555</v>
      </c>
      <c r="D543" t="s">
        <v>13</v>
      </c>
      <c r="E543">
        <v>20</v>
      </c>
      <c r="F543" t="s">
        <v>11</v>
      </c>
      <c r="G543">
        <v>1</v>
      </c>
      <c r="H543">
        <v>50</v>
      </c>
      <c r="I543">
        <v>50</v>
      </c>
    </row>
    <row r="544" spans="1:9">
      <c r="A544">
        <v>543</v>
      </c>
      <c r="B544" s="1">
        <v>45133</v>
      </c>
      <c r="C544" t="s">
        <v>556</v>
      </c>
      <c r="D544" t="s">
        <v>10</v>
      </c>
      <c r="E544">
        <v>49</v>
      </c>
      <c r="F544" t="s">
        <v>11</v>
      </c>
      <c r="G544">
        <v>2</v>
      </c>
      <c r="H544">
        <v>300</v>
      </c>
      <c r="I544">
        <v>600</v>
      </c>
    </row>
    <row r="545" spans="1:9">
      <c r="A545">
        <v>544</v>
      </c>
      <c r="B545" s="1">
        <v>45283</v>
      </c>
      <c r="C545" t="s">
        <v>557</v>
      </c>
      <c r="D545" t="s">
        <v>13</v>
      </c>
      <c r="E545">
        <v>27</v>
      </c>
      <c r="F545" t="s">
        <v>16</v>
      </c>
      <c r="G545">
        <v>1</v>
      </c>
      <c r="H545">
        <v>25</v>
      </c>
      <c r="I545">
        <v>25</v>
      </c>
    </row>
    <row r="546" spans="1:9">
      <c r="A546">
        <v>545</v>
      </c>
      <c r="B546" s="1">
        <v>45078</v>
      </c>
      <c r="C546" t="s">
        <v>558</v>
      </c>
      <c r="D546" t="s">
        <v>10</v>
      </c>
      <c r="E546">
        <v>27</v>
      </c>
      <c r="F546" t="s">
        <v>14</v>
      </c>
      <c r="G546">
        <v>2</v>
      </c>
      <c r="H546">
        <v>25</v>
      </c>
      <c r="I546">
        <v>50</v>
      </c>
    </row>
    <row r="547" spans="1:9">
      <c r="A547">
        <v>546</v>
      </c>
      <c r="B547" s="1">
        <v>45210</v>
      </c>
      <c r="C547" t="s">
        <v>559</v>
      </c>
      <c r="D547" t="s">
        <v>13</v>
      </c>
      <c r="E547">
        <v>36</v>
      </c>
      <c r="F547" t="s">
        <v>16</v>
      </c>
      <c r="G547">
        <v>4</v>
      </c>
      <c r="H547">
        <v>50</v>
      </c>
      <c r="I547">
        <v>200</v>
      </c>
    </row>
    <row r="548" spans="1:9">
      <c r="A548">
        <v>547</v>
      </c>
      <c r="B548" s="1">
        <v>44992</v>
      </c>
      <c r="C548" t="s">
        <v>560</v>
      </c>
      <c r="D548" t="s">
        <v>10</v>
      </c>
      <c r="E548">
        <v>63</v>
      </c>
      <c r="F548" t="s">
        <v>14</v>
      </c>
      <c r="G548">
        <v>4</v>
      </c>
      <c r="H548">
        <v>500</v>
      </c>
      <c r="I548">
        <v>2000</v>
      </c>
    </row>
    <row r="549" spans="1:9">
      <c r="A549">
        <v>548</v>
      </c>
      <c r="B549" s="1">
        <v>45025</v>
      </c>
      <c r="C549" t="s">
        <v>561</v>
      </c>
      <c r="D549" t="s">
        <v>13</v>
      </c>
      <c r="E549">
        <v>51</v>
      </c>
      <c r="F549" t="s">
        <v>14</v>
      </c>
      <c r="G549">
        <v>2</v>
      </c>
      <c r="H549">
        <v>30</v>
      </c>
      <c r="I549">
        <v>60</v>
      </c>
    </row>
    <row r="550" spans="1:9">
      <c r="A550">
        <v>549</v>
      </c>
      <c r="B550" s="1">
        <v>45142</v>
      </c>
      <c r="C550" t="s">
        <v>562</v>
      </c>
      <c r="D550" t="s">
        <v>13</v>
      </c>
      <c r="E550">
        <v>50</v>
      </c>
      <c r="F550" t="s">
        <v>11</v>
      </c>
      <c r="G550">
        <v>2</v>
      </c>
      <c r="H550">
        <v>50</v>
      </c>
      <c r="I550">
        <v>100</v>
      </c>
    </row>
    <row r="551" spans="1:9">
      <c r="A551">
        <v>550</v>
      </c>
      <c r="B551" s="1">
        <v>45267</v>
      </c>
      <c r="C551" t="s">
        <v>563</v>
      </c>
      <c r="D551" t="s">
        <v>10</v>
      </c>
      <c r="E551">
        <v>40</v>
      </c>
      <c r="F551" t="s">
        <v>14</v>
      </c>
      <c r="G551">
        <v>3</v>
      </c>
      <c r="H551">
        <v>300</v>
      </c>
      <c r="I551">
        <v>900</v>
      </c>
    </row>
    <row r="552" spans="1:9">
      <c r="A552">
        <v>551</v>
      </c>
      <c r="B552" s="1">
        <v>45121</v>
      </c>
      <c r="C552" t="s">
        <v>564</v>
      </c>
      <c r="D552" t="s">
        <v>10</v>
      </c>
      <c r="E552">
        <v>45</v>
      </c>
      <c r="F552" t="s">
        <v>16</v>
      </c>
      <c r="G552">
        <v>3</v>
      </c>
      <c r="H552">
        <v>300</v>
      </c>
      <c r="I552">
        <v>900</v>
      </c>
    </row>
    <row r="553" spans="1:9">
      <c r="A553">
        <v>552</v>
      </c>
      <c r="B553" s="1">
        <v>45273</v>
      </c>
      <c r="C553" t="s">
        <v>565</v>
      </c>
      <c r="D553" t="s">
        <v>13</v>
      </c>
      <c r="E553">
        <v>49</v>
      </c>
      <c r="F553" t="s">
        <v>16</v>
      </c>
      <c r="G553">
        <v>3</v>
      </c>
      <c r="H553">
        <v>25</v>
      </c>
      <c r="I553">
        <v>75</v>
      </c>
    </row>
    <row r="554" spans="1:9">
      <c r="A554">
        <v>553</v>
      </c>
      <c r="B554" s="1">
        <v>45016</v>
      </c>
      <c r="C554" t="s">
        <v>566</v>
      </c>
      <c r="D554" t="s">
        <v>10</v>
      </c>
      <c r="E554">
        <v>24</v>
      </c>
      <c r="F554" t="s">
        <v>14</v>
      </c>
      <c r="G554">
        <v>4</v>
      </c>
      <c r="H554">
        <v>300</v>
      </c>
      <c r="I554">
        <v>1200</v>
      </c>
    </row>
    <row r="555" spans="1:9">
      <c r="A555">
        <v>554</v>
      </c>
      <c r="B555" s="1">
        <v>45242</v>
      </c>
      <c r="C555" t="s">
        <v>567</v>
      </c>
      <c r="D555" t="s">
        <v>13</v>
      </c>
      <c r="E555">
        <v>46</v>
      </c>
      <c r="F555" t="s">
        <v>11</v>
      </c>
      <c r="G555">
        <v>3</v>
      </c>
      <c r="H555">
        <v>50</v>
      </c>
      <c r="I555">
        <v>150</v>
      </c>
    </row>
    <row r="556" spans="1:9">
      <c r="A556">
        <v>555</v>
      </c>
      <c r="B556" s="1">
        <v>45218</v>
      </c>
      <c r="C556" t="s">
        <v>568</v>
      </c>
      <c r="D556" t="s">
        <v>10</v>
      </c>
      <c r="E556">
        <v>25</v>
      </c>
      <c r="F556" t="s">
        <v>11</v>
      </c>
      <c r="G556">
        <v>1</v>
      </c>
      <c r="H556">
        <v>300</v>
      </c>
      <c r="I556">
        <v>300</v>
      </c>
    </row>
    <row r="557" spans="1:9">
      <c r="A557">
        <v>556</v>
      </c>
      <c r="B557" s="1">
        <v>45081</v>
      </c>
      <c r="C557" t="s">
        <v>569</v>
      </c>
      <c r="D557" t="s">
        <v>13</v>
      </c>
      <c r="E557">
        <v>18</v>
      </c>
      <c r="F557" t="s">
        <v>16</v>
      </c>
      <c r="G557">
        <v>1</v>
      </c>
      <c r="H557">
        <v>50</v>
      </c>
      <c r="I557">
        <v>50</v>
      </c>
    </row>
    <row r="558" spans="1:9">
      <c r="A558">
        <v>557</v>
      </c>
      <c r="B558" s="1">
        <v>45134</v>
      </c>
      <c r="C558" t="s">
        <v>570</v>
      </c>
      <c r="D558" t="s">
        <v>13</v>
      </c>
      <c r="E558">
        <v>20</v>
      </c>
      <c r="F558" t="s">
        <v>11</v>
      </c>
      <c r="G558">
        <v>3</v>
      </c>
      <c r="H558">
        <v>30</v>
      </c>
      <c r="I558">
        <v>90</v>
      </c>
    </row>
    <row r="559" spans="1:9">
      <c r="A559">
        <v>558</v>
      </c>
      <c r="B559" s="1">
        <v>45207</v>
      </c>
      <c r="C559" t="s">
        <v>571</v>
      </c>
      <c r="D559" t="s">
        <v>13</v>
      </c>
      <c r="E559">
        <v>41</v>
      </c>
      <c r="F559" t="s">
        <v>14</v>
      </c>
      <c r="G559">
        <v>1</v>
      </c>
      <c r="H559">
        <v>25</v>
      </c>
      <c r="I559">
        <v>25</v>
      </c>
    </row>
    <row r="560" spans="1:9">
      <c r="A560">
        <v>559</v>
      </c>
      <c r="B560" s="1">
        <v>44927</v>
      </c>
      <c r="C560" t="s">
        <v>572</v>
      </c>
      <c r="D560" t="s">
        <v>13</v>
      </c>
      <c r="E560">
        <v>40</v>
      </c>
      <c r="F560" t="s">
        <v>14</v>
      </c>
      <c r="G560">
        <v>4</v>
      </c>
      <c r="H560">
        <v>300</v>
      </c>
      <c r="I560">
        <v>1200</v>
      </c>
    </row>
    <row r="561" spans="1:9">
      <c r="A561">
        <v>560</v>
      </c>
      <c r="B561" s="1">
        <v>45082</v>
      </c>
      <c r="C561" t="s">
        <v>573</v>
      </c>
      <c r="D561" t="s">
        <v>13</v>
      </c>
      <c r="E561">
        <v>25</v>
      </c>
      <c r="F561" t="s">
        <v>16</v>
      </c>
      <c r="G561">
        <v>1</v>
      </c>
      <c r="H561">
        <v>50</v>
      </c>
      <c r="I561">
        <v>50</v>
      </c>
    </row>
    <row r="562" spans="1:9">
      <c r="A562">
        <v>561</v>
      </c>
      <c r="B562" s="1">
        <v>45073</v>
      </c>
      <c r="C562" t="s">
        <v>574</v>
      </c>
      <c r="D562" t="s">
        <v>13</v>
      </c>
      <c r="E562">
        <v>64</v>
      </c>
      <c r="F562" t="s">
        <v>14</v>
      </c>
      <c r="G562">
        <v>4</v>
      </c>
      <c r="H562">
        <v>500</v>
      </c>
      <c r="I562">
        <v>2000</v>
      </c>
    </row>
    <row r="563" spans="1:9">
      <c r="A563">
        <v>562</v>
      </c>
      <c r="B563" s="1">
        <v>45034</v>
      </c>
      <c r="C563" t="s">
        <v>575</v>
      </c>
      <c r="D563" t="s">
        <v>10</v>
      </c>
      <c r="E563">
        <v>54</v>
      </c>
      <c r="F563" t="s">
        <v>16</v>
      </c>
      <c r="G563">
        <v>2</v>
      </c>
      <c r="H563">
        <v>25</v>
      </c>
      <c r="I563">
        <v>50</v>
      </c>
    </row>
    <row r="564" spans="1:9">
      <c r="A564">
        <v>563</v>
      </c>
      <c r="B564" s="1">
        <v>45147</v>
      </c>
      <c r="C564" t="s">
        <v>576</v>
      </c>
      <c r="D564" t="s">
        <v>10</v>
      </c>
      <c r="E564">
        <v>20</v>
      </c>
      <c r="F564" t="s">
        <v>14</v>
      </c>
      <c r="G564">
        <v>2</v>
      </c>
      <c r="H564">
        <v>30</v>
      </c>
      <c r="I564">
        <v>60</v>
      </c>
    </row>
    <row r="565" spans="1:9">
      <c r="A565">
        <v>564</v>
      </c>
      <c r="B565" s="1">
        <v>45223</v>
      </c>
      <c r="C565" t="s">
        <v>577</v>
      </c>
      <c r="D565" t="s">
        <v>10</v>
      </c>
      <c r="E565">
        <v>50</v>
      </c>
      <c r="F565" t="s">
        <v>16</v>
      </c>
      <c r="G565">
        <v>2</v>
      </c>
      <c r="H565">
        <v>50</v>
      </c>
      <c r="I565">
        <v>100</v>
      </c>
    </row>
    <row r="566" spans="1:9">
      <c r="A566">
        <v>565</v>
      </c>
      <c r="B566" s="1">
        <v>45237</v>
      </c>
      <c r="C566" t="s">
        <v>578</v>
      </c>
      <c r="D566" t="s">
        <v>13</v>
      </c>
      <c r="E566">
        <v>45</v>
      </c>
      <c r="F566" t="s">
        <v>11</v>
      </c>
      <c r="G566">
        <v>2</v>
      </c>
      <c r="H566">
        <v>30</v>
      </c>
      <c r="I566">
        <v>60</v>
      </c>
    </row>
    <row r="567" spans="1:9">
      <c r="A567">
        <v>566</v>
      </c>
      <c r="B567" s="1">
        <v>45262</v>
      </c>
      <c r="C567" t="s">
        <v>579</v>
      </c>
      <c r="D567" t="s">
        <v>13</v>
      </c>
      <c r="E567">
        <v>64</v>
      </c>
      <c r="F567" t="s">
        <v>14</v>
      </c>
      <c r="G567">
        <v>1</v>
      </c>
      <c r="H567">
        <v>30</v>
      </c>
      <c r="I567">
        <v>30</v>
      </c>
    </row>
    <row r="568" spans="1:9">
      <c r="A568">
        <v>567</v>
      </c>
      <c r="B568" s="1">
        <v>45091</v>
      </c>
      <c r="C568" t="s">
        <v>580</v>
      </c>
      <c r="D568" t="s">
        <v>13</v>
      </c>
      <c r="E568">
        <v>25</v>
      </c>
      <c r="F568" t="s">
        <v>14</v>
      </c>
      <c r="G568">
        <v>3</v>
      </c>
      <c r="H568">
        <v>300</v>
      </c>
      <c r="I568">
        <v>900</v>
      </c>
    </row>
    <row r="569" spans="1:9">
      <c r="A569">
        <v>568</v>
      </c>
      <c r="B569" s="1">
        <v>45165</v>
      </c>
      <c r="C569" t="s">
        <v>581</v>
      </c>
      <c r="D569" t="s">
        <v>13</v>
      </c>
      <c r="E569">
        <v>51</v>
      </c>
      <c r="F569" t="s">
        <v>16</v>
      </c>
      <c r="G569">
        <v>1</v>
      </c>
      <c r="H569">
        <v>300</v>
      </c>
      <c r="I569">
        <v>300</v>
      </c>
    </row>
    <row r="570" spans="1:9">
      <c r="A570">
        <v>569</v>
      </c>
      <c r="B570" s="1">
        <v>45153</v>
      </c>
      <c r="C570" t="s">
        <v>582</v>
      </c>
      <c r="D570" t="s">
        <v>10</v>
      </c>
      <c r="E570">
        <v>52</v>
      </c>
      <c r="F570" t="s">
        <v>16</v>
      </c>
      <c r="G570">
        <v>4</v>
      </c>
      <c r="H570">
        <v>50</v>
      </c>
      <c r="I570">
        <v>200</v>
      </c>
    </row>
    <row r="571" spans="1:9">
      <c r="A571">
        <v>570</v>
      </c>
      <c r="B571" s="1">
        <v>45153</v>
      </c>
      <c r="C571" t="s">
        <v>583</v>
      </c>
      <c r="D571" t="s">
        <v>10</v>
      </c>
      <c r="E571">
        <v>49</v>
      </c>
      <c r="F571" t="s">
        <v>14</v>
      </c>
      <c r="G571">
        <v>1</v>
      </c>
      <c r="H571">
        <v>500</v>
      </c>
      <c r="I571">
        <v>500</v>
      </c>
    </row>
    <row r="572" spans="1:9">
      <c r="A572">
        <v>571</v>
      </c>
      <c r="B572" s="1">
        <v>45272</v>
      </c>
      <c r="C572" t="s">
        <v>584</v>
      </c>
      <c r="D572" t="s">
        <v>13</v>
      </c>
      <c r="E572">
        <v>41</v>
      </c>
      <c r="F572" t="s">
        <v>16</v>
      </c>
      <c r="G572">
        <v>1</v>
      </c>
      <c r="H572">
        <v>50</v>
      </c>
      <c r="I572">
        <v>50</v>
      </c>
    </row>
    <row r="573" spans="1:9">
      <c r="A573">
        <v>572</v>
      </c>
      <c r="B573" s="1">
        <v>45036</v>
      </c>
      <c r="C573" t="s">
        <v>585</v>
      </c>
      <c r="D573" t="s">
        <v>10</v>
      </c>
      <c r="E573">
        <v>31</v>
      </c>
      <c r="F573" t="s">
        <v>14</v>
      </c>
      <c r="G573">
        <v>4</v>
      </c>
      <c r="H573">
        <v>500</v>
      </c>
      <c r="I573">
        <v>2000</v>
      </c>
    </row>
    <row r="574" spans="1:9">
      <c r="A574">
        <v>573</v>
      </c>
      <c r="B574" s="1">
        <v>45188</v>
      </c>
      <c r="C574" t="s">
        <v>586</v>
      </c>
      <c r="D574" t="s">
        <v>10</v>
      </c>
      <c r="E574">
        <v>49</v>
      </c>
      <c r="F574" t="s">
        <v>11</v>
      </c>
      <c r="G574">
        <v>2</v>
      </c>
      <c r="H574">
        <v>30</v>
      </c>
      <c r="I574">
        <v>60</v>
      </c>
    </row>
    <row r="575" spans="1:9">
      <c r="A575">
        <v>574</v>
      </c>
      <c r="B575" s="1">
        <v>45169</v>
      </c>
      <c r="C575" t="s">
        <v>587</v>
      </c>
      <c r="D575" t="s">
        <v>13</v>
      </c>
      <c r="E575">
        <v>63</v>
      </c>
      <c r="F575" t="s">
        <v>16</v>
      </c>
      <c r="G575">
        <v>2</v>
      </c>
      <c r="H575">
        <v>25</v>
      </c>
      <c r="I575">
        <v>50</v>
      </c>
    </row>
    <row r="576" spans="1:9">
      <c r="A576">
        <v>575</v>
      </c>
      <c r="B576" s="1">
        <v>45013</v>
      </c>
      <c r="C576" t="s">
        <v>588</v>
      </c>
      <c r="D576" t="s">
        <v>10</v>
      </c>
      <c r="E576">
        <v>60</v>
      </c>
      <c r="F576" t="s">
        <v>14</v>
      </c>
      <c r="G576">
        <v>2</v>
      </c>
      <c r="H576">
        <v>50</v>
      </c>
      <c r="I576">
        <v>100</v>
      </c>
    </row>
    <row r="577" spans="1:9">
      <c r="A577">
        <v>576</v>
      </c>
      <c r="B577" s="1">
        <v>45264</v>
      </c>
      <c r="C577" t="s">
        <v>589</v>
      </c>
      <c r="D577" t="s">
        <v>13</v>
      </c>
      <c r="E577">
        <v>33</v>
      </c>
      <c r="F577" t="s">
        <v>11</v>
      </c>
      <c r="G577">
        <v>3</v>
      </c>
      <c r="H577">
        <v>50</v>
      </c>
      <c r="I577">
        <v>150</v>
      </c>
    </row>
    <row r="578" spans="1:9">
      <c r="A578">
        <v>577</v>
      </c>
      <c r="B578" s="1">
        <v>44970</v>
      </c>
      <c r="C578" t="s">
        <v>590</v>
      </c>
      <c r="D578" t="s">
        <v>10</v>
      </c>
      <c r="E578">
        <v>21</v>
      </c>
      <c r="F578" t="s">
        <v>11</v>
      </c>
      <c r="G578">
        <v>4</v>
      </c>
      <c r="H578">
        <v>500</v>
      </c>
      <c r="I578">
        <v>2000</v>
      </c>
    </row>
    <row r="579" spans="1:9">
      <c r="A579">
        <v>578</v>
      </c>
      <c r="B579" s="1">
        <v>45072</v>
      </c>
      <c r="C579" t="s">
        <v>591</v>
      </c>
      <c r="D579" t="s">
        <v>13</v>
      </c>
      <c r="E579">
        <v>54</v>
      </c>
      <c r="F579" t="s">
        <v>14</v>
      </c>
      <c r="G579">
        <v>4</v>
      </c>
      <c r="H579">
        <v>30</v>
      </c>
      <c r="I579">
        <v>120</v>
      </c>
    </row>
    <row r="580" spans="1:9">
      <c r="A580">
        <v>579</v>
      </c>
      <c r="B580" s="1">
        <v>45190</v>
      </c>
      <c r="C580" t="s">
        <v>592</v>
      </c>
      <c r="D580" t="s">
        <v>13</v>
      </c>
      <c r="E580">
        <v>38</v>
      </c>
      <c r="F580" t="s">
        <v>16</v>
      </c>
      <c r="G580">
        <v>1</v>
      </c>
      <c r="H580">
        <v>30</v>
      </c>
      <c r="I580">
        <v>30</v>
      </c>
    </row>
    <row r="581" spans="1:9">
      <c r="A581">
        <v>580</v>
      </c>
      <c r="B581" s="1">
        <v>45266</v>
      </c>
      <c r="C581" t="s">
        <v>593</v>
      </c>
      <c r="D581" t="s">
        <v>13</v>
      </c>
      <c r="E581">
        <v>31</v>
      </c>
      <c r="F581" t="s">
        <v>14</v>
      </c>
      <c r="G581">
        <v>3</v>
      </c>
      <c r="H581">
        <v>500</v>
      </c>
      <c r="I581">
        <v>1500</v>
      </c>
    </row>
    <row r="582" spans="1:9">
      <c r="A582">
        <v>581</v>
      </c>
      <c r="B582" s="1">
        <v>45251</v>
      </c>
      <c r="C582" t="s">
        <v>594</v>
      </c>
      <c r="D582" t="s">
        <v>13</v>
      </c>
      <c r="E582">
        <v>48</v>
      </c>
      <c r="F582" t="s">
        <v>11</v>
      </c>
      <c r="G582">
        <v>2</v>
      </c>
      <c r="H582">
        <v>30</v>
      </c>
      <c r="I582">
        <v>60</v>
      </c>
    </row>
    <row r="583" spans="1:9">
      <c r="A583">
        <v>582</v>
      </c>
      <c r="B583" s="1">
        <v>45244</v>
      </c>
      <c r="C583" t="s">
        <v>595</v>
      </c>
      <c r="D583" t="s">
        <v>10</v>
      </c>
      <c r="E583">
        <v>35</v>
      </c>
      <c r="F583" t="s">
        <v>14</v>
      </c>
      <c r="G583">
        <v>3</v>
      </c>
      <c r="H583">
        <v>300</v>
      </c>
      <c r="I583">
        <v>900</v>
      </c>
    </row>
    <row r="584" spans="1:9">
      <c r="A584">
        <v>583</v>
      </c>
      <c r="B584" s="1">
        <v>45098</v>
      </c>
      <c r="C584" t="s">
        <v>596</v>
      </c>
      <c r="D584" t="s">
        <v>13</v>
      </c>
      <c r="E584">
        <v>24</v>
      </c>
      <c r="F584" t="s">
        <v>16</v>
      </c>
      <c r="G584">
        <v>4</v>
      </c>
      <c r="H584">
        <v>25</v>
      </c>
      <c r="I584">
        <v>100</v>
      </c>
    </row>
    <row r="585" spans="1:9">
      <c r="A585">
        <v>584</v>
      </c>
      <c r="B585" s="1">
        <v>44974</v>
      </c>
      <c r="C585" t="s">
        <v>597</v>
      </c>
      <c r="D585" t="s">
        <v>13</v>
      </c>
      <c r="E585">
        <v>27</v>
      </c>
      <c r="F585" t="s">
        <v>11</v>
      </c>
      <c r="G585">
        <v>4</v>
      </c>
      <c r="H585">
        <v>50</v>
      </c>
      <c r="I585">
        <v>200</v>
      </c>
    </row>
    <row r="586" spans="1:9">
      <c r="A586">
        <v>585</v>
      </c>
      <c r="B586" s="1">
        <v>45047</v>
      </c>
      <c r="C586" t="s">
        <v>598</v>
      </c>
      <c r="D586" t="s">
        <v>13</v>
      </c>
      <c r="E586">
        <v>24</v>
      </c>
      <c r="F586" t="s">
        <v>14</v>
      </c>
      <c r="G586">
        <v>1</v>
      </c>
      <c r="H586">
        <v>25</v>
      </c>
      <c r="I586">
        <v>25</v>
      </c>
    </row>
    <row r="587" spans="1:9">
      <c r="A587">
        <v>586</v>
      </c>
      <c r="B587" s="1">
        <v>45271</v>
      </c>
      <c r="C587" t="s">
        <v>599</v>
      </c>
      <c r="D587" t="s">
        <v>10</v>
      </c>
      <c r="E587">
        <v>50</v>
      </c>
      <c r="F587" t="s">
        <v>16</v>
      </c>
      <c r="G587">
        <v>1</v>
      </c>
      <c r="H587">
        <v>50</v>
      </c>
      <c r="I587">
        <v>50</v>
      </c>
    </row>
    <row r="588" spans="1:9">
      <c r="A588">
        <v>587</v>
      </c>
      <c r="B588" s="1">
        <v>45085</v>
      </c>
      <c r="C588" t="s">
        <v>600</v>
      </c>
      <c r="D588" t="s">
        <v>13</v>
      </c>
      <c r="E588">
        <v>40</v>
      </c>
      <c r="F588" t="s">
        <v>11</v>
      </c>
      <c r="G588">
        <v>4</v>
      </c>
      <c r="H588">
        <v>300</v>
      </c>
      <c r="I588">
        <v>1200</v>
      </c>
    </row>
    <row r="589" spans="1:9">
      <c r="A589">
        <v>588</v>
      </c>
      <c r="B589" s="1">
        <v>45042</v>
      </c>
      <c r="C589" t="s">
        <v>601</v>
      </c>
      <c r="D589" t="s">
        <v>10</v>
      </c>
      <c r="E589">
        <v>38</v>
      </c>
      <c r="F589" t="s">
        <v>16</v>
      </c>
      <c r="G589">
        <v>2</v>
      </c>
      <c r="H589">
        <v>30</v>
      </c>
      <c r="I589">
        <v>60</v>
      </c>
    </row>
    <row r="590" spans="1:9">
      <c r="A590">
        <v>589</v>
      </c>
      <c r="B590" s="1">
        <v>45028</v>
      </c>
      <c r="C590" t="s">
        <v>602</v>
      </c>
      <c r="D590" t="s">
        <v>13</v>
      </c>
      <c r="E590">
        <v>36</v>
      </c>
      <c r="F590" t="s">
        <v>11</v>
      </c>
      <c r="G590">
        <v>2</v>
      </c>
      <c r="H590">
        <v>500</v>
      </c>
      <c r="I590">
        <v>1000</v>
      </c>
    </row>
    <row r="591" spans="1:9">
      <c r="A591">
        <v>590</v>
      </c>
      <c r="B591" s="1">
        <v>45002</v>
      </c>
      <c r="C591" t="s">
        <v>603</v>
      </c>
      <c r="D591" t="s">
        <v>10</v>
      </c>
      <c r="E591">
        <v>36</v>
      </c>
      <c r="F591" t="s">
        <v>14</v>
      </c>
      <c r="G591">
        <v>3</v>
      </c>
      <c r="H591">
        <v>300</v>
      </c>
      <c r="I591">
        <v>900</v>
      </c>
    </row>
    <row r="592" spans="1:9">
      <c r="A592">
        <v>591</v>
      </c>
      <c r="B592" s="1">
        <v>44939</v>
      </c>
      <c r="C592" t="s">
        <v>604</v>
      </c>
      <c r="D592" t="s">
        <v>10</v>
      </c>
      <c r="E592">
        <v>53</v>
      </c>
      <c r="F592" t="s">
        <v>16</v>
      </c>
      <c r="G592">
        <v>4</v>
      </c>
      <c r="H592">
        <v>25</v>
      </c>
      <c r="I592">
        <v>100</v>
      </c>
    </row>
    <row r="593" spans="1:9">
      <c r="A593">
        <v>592</v>
      </c>
      <c r="B593" s="1">
        <v>44950</v>
      </c>
      <c r="C593" t="s">
        <v>605</v>
      </c>
      <c r="D593" t="s">
        <v>13</v>
      </c>
      <c r="E593">
        <v>46</v>
      </c>
      <c r="F593" t="s">
        <v>11</v>
      </c>
      <c r="G593">
        <v>4</v>
      </c>
      <c r="H593">
        <v>500</v>
      </c>
      <c r="I593">
        <v>2000</v>
      </c>
    </row>
    <row r="594" spans="1:9">
      <c r="A594">
        <v>593</v>
      </c>
      <c r="B594" s="1">
        <v>45052</v>
      </c>
      <c r="C594" t="s">
        <v>606</v>
      </c>
      <c r="D594" t="s">
        <v>10</v>
      </c>
      <c r="E594">
        <v>35</v>
      </c>
      <c r="F594" t="s">
        <v>16</v>
      </c>
      <c r="G594">
        <v>2</v>
      </c>
      <c r="H594">
        <v>30</v>
      </c>
      <c r="I594">
        <v>60</v>
      </c>
    </row>
    <row r="595" spans="1:9">
      <c r="A595">
        <v>594</v>
      </c>
      <c r="B595" s="1">
        <v>45170</v>
      </c>
      <c r="C595" t="s">
        <v>607</v>
      </c>
      <c r="D595" t="s">
        <v>13</v>
      </c>
      <c r="E595">
        <v>19</v>
      </c>
      <c r="F595" t="s">
        <v>16</v>
      </c>
      <c r="G595">
        <v>2</v>
      </c>
      <c r="H595">
        <v>300</v>
      </c>
      <c r="I595">
        <v>600</v>
      </c>
    </row>
    <row r="596" spans="1:9">
      <c r="A596">
        <v>595</v>
      </c>
      <c r="B596" s="1">
        <v>45239</v>
      </c>
      <c r="C596" t="s">
        <v>608</v>
      </c>
      <c r="D596" t="s">
        <v>13</v>
      </c>
      <c r="E596">
        <v>18</v>
      </c>
      <c r="F596" t="s">
        <v>14</v>
      </c>
      <c r="G596">
        <v>4</v>
      </c>
      <c r="H596">
        <v>500</v>
      </c>
      <c r="I596">
        <v>2000</v>
      </c>
    </row>
    <row r="597" spans="1:9">
      <c r="A597">
        <v>596</v>
      </c>
      <c r="B597" s="1">
        <v>44964</v>
      </c>
      <c r="C597" t="s">
        <v>609</v>
      </c>
      <c r="D597" t="s">
        <v>13</v>
      </c>
      <c r="E597">
        <v>64</v>
      </c>
      <c r="F597" t="s">
        <v>16</v>
      </c>
      <c r="G597">
        <v>1</v>
      </c>
      <c r="H597">
        <v>300</v>
      </c>
      <c r="I597">
        <v>300</v>
      </c>
    </row>
    <row r="598" spans="1:9">
      <c r="A598">
        <v>597</v>
      </c>
      <c r="B598" s="1">
        <v>45160</v>
      </c>
      <c r="C598" t="s">
        <v>610</v>
      </c>
      <c r="D598" t="s">
        <v>10</v>
      </c>
      <c r="E598">
        <v>22</v>
      </c>
      <c r="F598" t="s">
        <v>11</v>
      </c>
      <c r="G598">
        <v>4</v>
      </c>
      <c r="H598">
        <v>300</v>
      </c>
      <c r="I598">
        <v>1200</v>
      </c>
    </row>
    <row r="599" spans="1:9">
      <c r="A599">
        <v>598</v>
      </c>
      <c r="B599" s="1">
        <v>45139</v>
      </c>
      <c r="C599" t="s">
        <v>611</v>
      </c>
      <c r="D599" t="s">
        <v>10</v>
      </c>
      <c r="E599">
        <v>37</v>
      </c>
      <c r="F599" t="s">
        <v>11</v>
      </c>
      <c r="G599">
        <v>4</v>
      </c>
      <c r="H599">
        <v>30</v>
      </c>
      <c r="I599">
        <v>120</v>
      </c>
    </row>
    <row r="600" spans="1:9">
      <c r="A600">
        <v>599</v>
      </c>
      <c r="B600" s="1">
        <v>45249</v>
      </c>
      <c r="C600" t="s">
        <v>612</v>
      </c>
      <c r="D600" t="s">
        <v>13</v>
      </c>
      <c r="E600">
        <v>28</v>
      </c>
      <c r="F600" t="s">
        <v>11</v>
      </c>
      <c r="G600">
        <v>2</v>
      </c>
      <c r="H600">
        <v>50</v>
      </c>
      <c r="I600">
        <v>100</v>
      </c>
    </row>
    <row r="601" spans="1:9">
      <c r="A601">
        <v>600</v>
      </c>
      <c r="B601" s="1">
        <v>45221</v>
      </c>
      <c r="C601" t="s">
        <v>613</v>
      </c>
      <c r="D601" t="s">
        <v>13</v>
      </c>
      <c r="E601">
        <v>59</v>
      </c>
      <c r="F601" t="s">
        <v>11</v>
      </c>
      <c r="G601">
        <v>2</v>
      </c>
      <c r="H601">
        <v>500</v>
      </c>
      <c r="I601">
        <v>1000</v>
      </c>
    </row>
    <row r="602" spans="1:9">
      <c r="A602">
        <v>601</v>
      </c>
      <c r="B602" s="1">
        <v>45026</v>
      </c>
      <c r="C602" t="s">
        <v>614</v>
      </c>
      <c r="D602" t="s">
        <v>10</v>
      </c>
      <c r="E602">
        <v>19</v>
      </c>
      <c r="F602" t="s">
        <v>14</v>
      </c>
      <c r="G602">
        <v>1</v>
      </c>
      <c r="H602">
        <v>30</v>
      </c>
      <c r="I602">
        <v>30</v>
      </c>
    </row>
    <row r="603" spans="1:9">
      <c r="A603">
        <v>602</v>
      </c>
      <c r="B603" s="1">
        <v>45283</v>
      </c>
      <c r="C603" t="s">
        <v>615</v>
      </c>
      <c r="D603" t="s">
        <v>13</v>
      </c>
      <c r="E603">
        <v>20</v>
      </c>
      <c r="F603" t="s">
        <v>16</v>
      </c>
      <c r="G603">
        <v>1</v>
      </c>
      <c r="H603">
        <v>300</v>
      </c>
      <c r="I603">
        <v>300</v>
      </c>
    </row>
    <row r="604" spans="1:9">
      <c r="A604">
        <v>603</v>
      </c>
      <c r="B604" s="1">
        <v>45123</v>
      </c>
      <c r="C604" t="s">
        <v>616</v>
      </c>
      <c r="D604" t="s">
        <v>13</v>
      </c>
      <c r="E604">
        <v>40</v>
      </c>
      <c r="F604" t="s">
        <v>14</v>
      </c>
      <c r="G604">
        <v>3</v>
      </c>
      <c r="H604">
        <v>30</v>
      </c>
      <c r="I604">
        <v>90</v>
      </c>
    </row>
    <row r="605" spans="1:9">
      <c r="A605">
        <v>604</v>
      </c>
      <c r="B605" s="1">
        <v>45180</v>
      </c>
      <c r="C605" t="s">
        <v>617</v>
      </c>
      <c r="D605" t="s">
        <v>13</v>
      </c>
      <c r="E605">
        <v>29</v>
      </c>
      <c r="F605" t="s">
        <v>16</v>
      </c>
      <c r="G605">
        <v>4</v>
      </c>
      <c r="H605">
        <v>50</v>
      </c>
      <c r="I605">
        <v>200</v>
      </c>
    </row>
    <row r="606" spans="1:9">
      <c r="A606">
        <v>605</v>
      </c>
      <c r="B606" s="1">
        <v>45131</v>
      </c>
      <c r="C606" t="s">
        <v>618</v>
      </c>
      <c r="D606" t="s">
        <v>10</v>
      </c>
      <c r="E606">
        <v>37</v>
      </c>
      <c r="F606" t="s">
        <v>16</v>
      </c>
      <c r="G606">
        <v>2</v>
      </c>
      <c r="H606">
        <v>500</v>
      </c>
      <c r="I606">
        <v>1000</v>
      </c>
    </row>
    <row r="607" spans="1:9">
      <c r="A607">
        <v>606</v>
      </c>
      <c r="B607" s="1">
        <v>45051</v>
      </c>
      <c r="C607" t="s">
        <v>619</v>
      </c>
      <c r="D607" t="s">
        <v>10</v>
      </c>
      <c r="E607">
        <v>22</v>
      </c>
      <c r="F607" t="s">
        <v>16</v>
      </c>
      <c r="G607">
        <v>1</v>
      </c>
      <c r="H607">
        <v>50</v>
      </c>
      <c r="I607">
        <v>50</v>
      </c>
    </row>
    <row r="608" spans="1:9">
      <c r="A608">
        <v>607</v>
      </c>
      <c r="B608" s="1">
        <v>45002</v>
      </c>
      <c r="C608" t="s">
        <v>620</v>
      </c>
      <c r="D608" t="s">
        <v>10</v>
      </c>
      <c r="E608">
        <v>54</v>
      </c>
      <c r="F608" t="s">
        <v>14</v>
      </c>
      <c r="G608">
        <v>3</v>
      </c>
      <c r="H608">
        <v>25</v>
      </c>
      <c r="I608">
        <v>75</v>
      </c>
    </row>
    <row r="609" spans="1:9">
      <c r="A609">
        <v>608</v>
      </c>
      <c r="B609" s="1">
        <v>45262</v>
      </c>
      <c r="C609" t="s">
        <v>621</v>
      </c>
      <c r="D609" t="s">
        <v>13</v>
      </c>
      <c r="E609">
        <v>55</v>
      </c>
      <c r="F609" t="s">
        <v>16</v>
      </c>
      <c r="G609">
        <v>3</v>
      </c>
      <c r="H609">
        <v>500</v>
      </c>
      <c r="I609">
        <v>1500</v>
      </c>
    </row>
    <row r="610" spans="1:9">
      <c r="A610">
        <v>609</v>
      </c>
      <c r="B610" s="1">
        <v>45279</v>
      </c>
      <c r="C610" t="s">
        <v>622</v>
      </c>
      <c r="D610" t="s">
        <v>13</v>
      </c>
      <c r="E610">
        <v>47</v>
      </c>
      <c r="F610" t="s">
        <v>14</v>
      </c>
      <c r="G610">
        <v>2</v>
      </c>
      <c r="H610">
        <v>50</v>
      </c>
      <c r="I610">
        <v>100</v>
      </c>
    </row>
    <row r="611" spans="1:9">
      <c r="A611">
        <v>610</v>
      </c>
      <c r="B611" s="1">
        <v>44929</v>
      </c>
      <c r="C611" t="s">
        <v>623</v>
      </c>
      <c r="D611" t="s">
        <v>13</v>
      </c>
      <c r="E611">
        <v>26</v>
      </c>
      <c r="F611" t="s">
        <v>11</v>
      </c>
      <c r="G611">
        <v>2</v>
      </c>
      <c r="H611">
        <v>300</v>
      </c>
      <c r="I611">
        <v>600</v>
      </c>
    </row>
    <row r="612" spans="1:9">
      <c r="A612">
        <v>611</v>
      </c>
      <c r="B612" s="1">
        <v>44981</v>
      </c>
      <c r="C612" t="s">
        <v>624</v>
      </c>
      <c r="D612" t="s">
        <v>10</v>
      </c>
      <c r="E612">
        <v>51</v>
      </c>
      <c r="F612" t="s">
        <v>11</v>
      </c>
      <c r="G612">
        <v>3</v>
      </c>
      <c r="H612">
        <v>500</v>
      </c>
      <c r="I612">
        <v>1500</v>
      </c>
    </row>
    <row r="613" spans="1:9">
      <c r="A613">
        <v>612</v>
      </c>
      <c r="B613" s="1">
        <v>45144</v>
      </c>
      <c r="C613" t="s">
        <v>625</v>
      </c>
      <c r="D613" t="s">
        <v>13</v>
      </c>
      <c r="E613">
        <v>61</v>
      </c>
      <c r="F613" t="s">
        <v>16</v>
      </c>
      <c r="G613">
        <v>1</v>
      </c>
      <c r="H613">
        <v>500</v>
      </c>
      <c r="I613">
        <v>500</v>
      </c>
    </row>
    <row r="614" spans="1:9">
      <c r="A614">
        <v>613</v>
      </c>
      <c r="B614" s="1">
        <v>45039</v>
      </c>
      <c r="C614" t="s">
        <v>626</v>
      </c>
      <c r="D614" t="s">
        <v>13</v>
      </c>
      <c r="E614">
        <v>52</v>
      </c>
      <c r="F614" t="s">
        <v>14</v>
      </c>
      <c r="G614">
        <v>3</v>
      </c>
      <c r="H614">
        <v>30</v>
      </c>
      <c r="I614">
        <v>90</v>
      </c>
    </row>
    <row r="615" spans="1:9">
      <c r="A615">
        <v>614</v>
      </c>
      <c r="B615" s="1">
        <v>45017</v>
      </c>
      <c r="C615" t="s">
        <v>627</v>
      </c>
      <c r="D615" t="s">
        <v>13</v>
      </c>
      <c r="E615">
        <v>39</v>
      </c>
      <c r="F615" t="s">
        <v>11</v>
      </c>
      <c r="G615">
        <v>4</v>
      </c>
      <c r="H615">
        <v>300</v>
      </c>
      <c r="I615">
        <v>1200</v>
      </c>
    </row>
    <row r="616" spans="1:9">
      <c r="A616">
        <v>615</v>
      </c>
      <c r="B616" s="1">
        <v>45283</v>
      </c>
      <c r="C616" t="s">
        <v>628</v>
      </c>
      <c r="D616" t="s">
        <v>13</v>
      </c>
      <c r="E616">
        <v>61</v>
      </c>
      <c r="F616" t="s">
        <v>14</v>
      </c>
      <c r="G616">
        <v>4</v>
      </c>
      <c r="H616">
        <v>25</v>
      </c>
      <c r="I616">
        <v>100</v>
      </c>
    </row>
    <row r="617" spans="1:9">
      <c r="A617">
        <v>616</v>
      </c>
      <c r="B617" s="1">
        <v>45192</v>
      </c>
      <c r="C617" t="s">
        <v>629</v>
      </c>
      <c r="D617" t="s">
        <v>10</v>
      </c>
      <c r="E617">
        <v>41</v>
      </c>
      <c r="F617" t="s">
        <v>14</v>
      </c>
      <c r="G617">
        <v>2</v>
      </c>
      <c r="H617">
        <v>50</v>
      </c>
      <c r="I617">
        <v>100</v>
      </c>
    </row>
    <row r="618" spans="1:9">
      <c r="A618">
        <v>617</v>
      </c>
      <c r="B618" s="1">
        <v>45164</v>
      </c>
      <c r="C618" t="s">
        <v>630</v>
      </c>
      <c r="D618" t="s">
        <v>10</v>
      </c>
      <c r="E618">
        <v>34</v>
      </c>
      <c r="F618" t="s">
        <v>16</v>
      </c>
      <c r="G618">
        <v>1</v>
      </c>
      <c r="H618">
        <v>30</v>
      </c>
      <c r="I618">
        <v>30</v>
      </c>
    </row>
    <row r="619" spans="1:9">
      <c r="A619">
        <v>618</v>
      </c>
      <c r="B619" s="1">
        <v>44952</v>
      </c>
      <c r="C619" t="s">
        <v>631</v>
      </c>
      <c r="D619" t="s">
        <v>13</v>
      </c>
      <c r="E619">
        <v>27</v>
      </c>
      <c r="F619" t="s">
        <v>11</v>
      </c>
      <c r="G619">
        <v>1</v>
      </c>
      <c r="H619">
        <v>50</v>
      </c>
      <c r="I619">
        <v>50</v>
      </c>
    </row>
    <row r="620" spans="1:9">
      <c r="A620">
        <v>619</v>
      </c>
      <c r="B620" s="1">
        <v>45212</v>
      </c>
      <c r="C620" t="s">
        <v>632</v>
      </c>
      <c r="D620" t="s">
        <v>10</v>
      </c>
      <c r="E620">
        <v>47</v>
      </c>
      <c r="F620" t="s">
        <v>16</v>
      </c>
      <c r="G620">
        <v>4</v>
      </c>
      <c r="H620">
        <v>25</v>
      </c>
      <c r="I620">
        <v>100</v>
      </c>
    </row>
    <row r="621" spans="1:9">
      <c r="A621">
        <v>620</v>
      </c>
      <c r="B621" s="1">
        <v>45054</v>
      </c>
      <c r="C621" t="s">
        <v>633</v>
      </c>
      <c r="D621" t="s">
        <v>10</v>
      </c>
      <c r="E621">
        <v>63</v>
      </c>
      <c r="F621" t="s">
        <v>16</v>
      </c>
      <c r="G621">
        <v>3</v>
      </c>
      <c r="H621">
        <v>25</v>
      </c>
      <c r="I621">
        <v>75</v>
      </c>
    </row>
    <row r="622" spans="1:9">
      <c r="A622">
        <v>621</v>
      </c>
      <c r="B622" s="1">
        <v>44989</v>
      </c>
      <c r="C622" t="s">
        <v>634</v>
      </c>
      <c r="D622" t="s">
        <v>13</v>
      </c>
      <c r="E622">
        <v>40</v>
      </c>
      <c r="F622" t="s">
        <v>11</v>
      </c>
      <c r="G622">
        <v>2</v>
      </c>
      <c r="H622">
        <v>500</v>
      </c>
      <c r="I622">
        <v>1000</v>
      </c>
    </row>
    <row r="623" spans="1:9">
      <c r="A623">
        <v>622</v>
      </c>
      <c r="B623" s="1">
        <v>45160</v>
      </c>
      <c r="C623" t="s">
        <v>635</v>
      </c>
      <c r="D623" t="s">
        <v>13</v>
      </c>
      <c r="E623">
        <v>49</v>
      </c>
      <c r="F623" t="s">
        <v>11</v>
      </c>
      <c r="G623">
        <v>3</v>
      </c>
      <c r="H623">
        <v>25</v>
      </c>
      <c r="I623">
        <v>75</v>
      </c>
    </row>
    <row r="624" spans="1:9">
      <c r="A624">
        <v>623</v>
      </c>
      <c r="B624" s="1">
        <v>44995</v>
      </c>
      <c r="C624" t="s">
        <v>636</v>
      </c>
      <c r="D624" t="s">
        <v>10</v>
      </c>
      <c r="E624">
        <v>34</v>
      </c>
      <c r="F624" t="s">
        <v>14</v>
      </c>
      <c r="G624">
        <v>3</v>
      </c>
      <c r="H624">
        <v>50</v>
      </c>
      <c r="I624">
        <v>150</v>
      </c>
    </row>
    <row r="625" spans="1:9">
      <c r="A625">
        <v>624</v>
      </c>
      <c r="B625" s="1">
        <v>45164</v>
      </c>
      <c r="C625" t="s">
        <v>637</v>
      </c>
      <c r="D625" t="s">
        <v>13</v>
      </c>
      <c r="E625">
        <v>34</v>
      </c>
      <c r="F625" t="s">
        <v>11</v>
      </c>
      <c r="G625">
        <v>3</v>
      </c>
      <c r="H625">
        <v>300</v>
      </c>
      <c r="I625">
        <v>900</v>
      </c>
    </row>
    <row r="626" spans="1:9">
      <c r="A626">
        <v>625</v>
      </c>
      <c r="B626" s="1">
        <v>45268</v>
      </c>
      <c r="C626" t="s">
        <v>638</v>
      </c>
      <c r="D626" t="s">
        <v>10</v>
      </c>
      <c r="E626">
        <v>31</v>
      </c>
      <c r="F626" t="s">
        <v>14</v>
      </c>
      <c r="G626">
        <v>1</v>
      </c>
      <c r="H626">
        <v>300</v>
      </c>
      <c r="I626">
        <v>300</v>
      </c>
    </row>
    <row r="627" spans="1:9">
      <c r="A627">
        <v>626</v>
      </c>
      <c r="B627" s="1">
        <v>45198</v>
      </c>
      <c r="C627" t="s">
        <v>639</v>
      </c>
      <c r="D627" t="s">
        <v>13</v>
      </c>
      <c r="E627">
        <v>26</v>
      </c>
      <c r="F627" t="s">
        <v>14</v>
      </c>
      <c r="G627">
        <v>4</v>
      </c>
      <c r="H627">
        <v>500</v>
      </c>
      <c r="I627">
        <v>2000</v>
      </c>
    </row>
    <row r="628" spans="1:9">
      <c r="A628">
        <v>627</v>
      </c>
      <c r="B628" s="1">
        <v>45213</v>
      </c>
      <c r="C628" t="s">
        <v>640</v>
      </c>
      <c r="D628" t="s">
        <v>10</v>
      </c>
      <c r="E628">
        <v>57</v>
      </c>
      <c r="F628" t="s">
        <v>14</v>
      </c>
      <c r="G628">
        <v>1</v>
      </c>
      <c r="H628">
        <v>50</v>
      </c>
      <c r="I628">
        <v>50</v>
      </c>
    </row>
    <row r="629" spans="1:9">
      <c r="A629">
        <v>628</v>
      </c>
      <c r="B629" s="1">
        <v>45231</v>
      </c>
      <c r="C629" t="s">
        <v>641</v>
      </c>
      <c r="D629" t="s">
        <v>13</v>
      </c>
      <c r="E629">
        <v>19</v>
      </c>
      <c r="F629" t="s">
        <v>11</v>
      </c>
      <c r="G629">
        <v>4</v>
      </c>
      <c r="H629">
        <v>50</v>
      </c>
      <c r="I629">
        <v>200</v>
      </c>
    </row>
    <row r="630" spans="1:9">
      <c r="A630">
        <v>629</v>
      </c>
      <c r="B630" s="1">
        <v>45089</v>
      </c>
      <c r="C630" t="s">
        <v>642</v>
      </c>
      <c r="D630" t="s">
        <v>10</v>
      </c>
      <c r="E630">
        <v>62</v>
      </c>
      <c r="F630" t="s">
        <v>16</v>
      </c>
      <c r="G630">
        <v>2</v>
      </c>
      <c r="H630">
        <v>25</v>
      </c>
      <c r="I630">
        <v>50</v>
      </c>
    </row>
    <row r="631" spans="1:9">
      <c r="A631">
        <v>630</v>
      </c>
      <c r="B631" s="1">
        <v>45153</v>
      </c>
      <c r="C631" t="s">
        <v>643</v>
      </c>
      <c r="D631" t="s">
        <v>10</v>
      </c>
      <c r="E631">
        <v>42</v>
      </c>
      <c r="F631" t="s">
        <v>14</v>
      </c>
      <c r="G631">
        <v>2</v>
      </c>
      <c r="H631">
        <v>50</v>
      </c>
      <c r="I631">
        <v>100</v>
      </c>
    </row>
    <row r="632" spans="1:9">
      <c r="A632">
        <v>631</v>
      </c>
      <c r="B632" s="1">
        <v>45240</v>
      </c>
      <c r="C632" t="s">
        <v>644</v>
      </c>
      <c r="D632" t="s">
        <v>10</v>
      </c>
      <c r="E632">
        <v>56</v>
      </c>
      <c r="F632" t="s">
        <v>16</v>
      </c>
      <c r="G632">
        <v>3</v>
      </c>
      <c r="H632">
        <v>30</v>
      </c>
      <c r="I632">
        <v>90</v>
      </c>
    </row>
    <row r="633" spans="1:9">
      <c r="A633">
        <v>632</v>
      </c>
      <c r="B633" s="1">
        <v>45185</v>
      </c>
      <c r="C633" t="s">
        <v>645</v>
      </c>
      <c r="D633" t="s">
        <v>13</v>
      </c>
      <c r="E633">
        <v>26</v>
      </c>
      <c r="F633" t="s">
        <v>16</v>
      </c>
      <c r="G633">
        <v>4</v>
      </c>
      <c r="H633">
        <v>25</v>
      </c>
      <c r="I633">
        <v>100</v>
      </c>
    </row>
    <row r="634" spans="1:9">
      <c r="A634">
        <v>633</v>
      </c>
      <c r="B634" s="1">
        <v>45145</v>
      </c>
      <c r="C634" t="s">
        <v>646</v>
      </c>
      <c r="D634" t="s">
        <v>10</v>
      </c>
      <c r="E634">
        <v>39</v>
      </c>
      <c r="F634" t="s">
        <v>11</v>
      </c>
      <c r="G634">
        <v>4</v>
      </c>
      <c r="H634">
        <v>30</v>
      </c>
      <c r="I634">
        <v>120</v>
      </c>
    </row>
    <row r="635" spans="1:9">
      <c r="A635">
        <v>634</v>
      </c>
      <c r="B635" s="1">
        <v>45207</v>
      </c>
      <c r="C635" t="s">
        <v>647</v>
      </c>
      <c r="D635" t="s">
        <v>10</v>
      </c>
      <c r="E635">
        <v>60</v>
      </c>
      <c r="F635" t="s">
        <v>16</v>
      </c>
      <c r="G635">
        <v>4</v>
      </c>
      <c r="H635">
        <v>500</v>
      </c>
      <c r="I635">
        <v>2000</v>
      </c>
    </row>
    <row r="636" spans="1:9">
      <c r="A636">
        <v>635</v>
      </c>
      <c r="B636" s="1">
        <v>45155</v>
      </c>
      <c r="C636" t="s">
        <v>648</v>
      </c>
      <c r="D636" t="s">
        <v>13</v>
      </c>
      <c r="E636">
        <v>63</v>
      </c>
      <c r="F636" t="s">
        <v>16</v>
      </c>
      <c r="G636">
        <v>3</v>
      </c>
      <c r="H636">
        <v>300</v>
      </c>
      <c r="I636">
        <v>900</v>
      </c>
    </row>
    <row r="637" spans="1:9">
      <c r="A637">
        <v>636</v>
      </c>
      <c r="B637" s="1">
        <v>45008</v>
      </c>
      <c r="C637" t="s">
        <v>649</v>
      </c>
      <c r="D637" t="s">
        <v>13</v>
      </c>
      <c r="E637">
        <v>21</v>
      </c>
      <c r="F637" t="s">
        <v>11</v>
      </c>
      <c r="G637">
        <v>3</v>
      </c>
      <c r="H637">
        <v>500</v>
      </c>
      <c r="I637">
        <v>1500</v>
      </c>
    </row>
    <row r="638" spans="1:9">
      <c r="A638">
        <v>637</v>
      </c>
      <c r="B638" s="1">
        <v>45170</v>
      </c>
      <c r="C638" t="s">
        <v>650</v>
      </c>
      <c r="D638" t="s">
        <v>10</v>
      </c>
      <c r="E638">
        <v>43</v>
      </c>
      <c r="F638" t="s">
        <v>14</v>
      </c>
      <c r="G638">
        <v>2</v>
      </c>
      <c r="H638">
        <v>300</v>
      </c>
      <c r="I638">
        <v>600</v>
      </c>
    </row>
    <row r="639" spans="1:9">
      <c r="A639">
        <v>638</v>
      </c>
      <c r="B639" s="1">
        <v>45157</v>
      </c>
      <c r="C639" t="s">
        <v>651</v>
      </c>
      <c r="D639" t="s">
        <v>10</v>
      </c>
      <c r="E639">
        <v>46</v>
      </c>
      <c r="F639" t="s">
        <v>16</v>
      </c>
      <c r="G639">
        <v>1</v>
      </c>
      <c r="H639">
        <v>500</v>
      </c>
      <c r="I639">
        <v>500</v>
      </c>
    </row>
    <row r="640" spans="1:9">
      <c r="A640">
        <v>639</v>
      </c>
      <c r="B640" s="1">
        <v>45059</v>
      </c>
      <c r="C640" t="s">
        <v>652</v>
      </c>
      <c r="D640" t="s">
        <v>13</v>
      </c>
      <c r="E640">
        <v>62</v>
      </c>
      <c r="F640" t="s">
        <v>11</v>
      </c>
      <c r="G640">
        <v>4</v>
      </c>
      <c r="H640">
        <v>50</v>
      </c>
      <c r="I640">
        <v>200</v>
      </c>
    </row>
    <row r="641" spans="1:9">
      <c r="A641">
        <v>640</v>
      </c>
      <c r="B641" s="1">
        <v>45053</v>
      </c>
      <c r="C641" t="s">
        <v>653</v>
      </c>
      <c r="D641" t="s">
        <v>13</v>
      </c>
      <c r="E641">
        <v>51</v>
      </c>
      <c r="F641" t="s">
        <v>16</v>
      </c>
      <c r="G641">
        <v>4</v>
      </c>
      <c r="H641">
        <v>30</v>
      </c>
      <c r="I641">
        <v>120</v>
      </c>
    </row>
    <row r="642" spans="1:9">
      <c r="A642">
        <v>641</v>
      </c>
      <c r="B642" s="1">
        <v>45253</v>
      </c>
      <c r="C642" t="s">
        <v>654</v>
      </c>
      <c r="D642" t="s">
        <v>13</v>
      </c>
      <c r="E642">
        <v>40</v>
      </c>
      <c r="F642" t="s">
        <v>16</v>
      </c>
      <c r="G642">
        <v>1</v>
      </c>
      <c r="H642">
        <v>300</v>
      </c>
      <c r="I642">
        <v>300</v>
      </c>
    </row>
    <row r="643" spans="1:9">
      <c r="A643">
        <v>642</v>
      </c>
      <c r="B643" s="1">
        <v>45068</v>
      </c>
      <c r="C643" t="s">
        <v>655</v>
      </c>
      <c r="D643" t="s">
        <v>13</v>
      </c>
      <c r="E643">
        <v>54</v>
      </c>
      <c r="F643" t="s">
        <v>14</v>
      </c>
      <c r="G643">
        <v>4</v>
      </c>
      <c r="H643">
        <v>25</v>
      </c>
      <c r="I643">
        <v>100</v>
      </c>
    </row>
    <row r="644" spans="1:9">
      <c r="A644">
        <v>643</v>
      </c>
      <c r="B644" s="1">
        <v>45193</v>
      </c>
      <c r="C644" t="s">
        <v>656</v>
      </c>
      <c r="D644" t="s">
        <v>13</v>
      </c>
      <c r="E644">
        <v>28</v>
      </c>
      <c r="F644" t="s">
        <v>16</v>
      </c>
      <c r="G644">
        <v>3</v>
      </c>
      <c r="H644">
        <v>30</v>
      </c>
      <c r="I644">
        <v>90</v>
      </c>
    </row>
    <row r="645" spans="1:9">
      <c r="A645">
        <v>644</v>
      </c>
      <c r="B645" s="1">
        <v>45175</v>
      </c>
      <c r="C645" t="s">
        <v>657</v>
      </c>
      <c r="D645" t="s">
        <v>10</v>
      </c>
      <c r="E645">
        <v>23</v>
      </c>
      <c r="F645" t="s">
        <v>11</v>
      </c>
      <c r="G645">
        <v>3</v>
      </c>
      <c r="H645">
        <v>25</v>
      </c>
      <c r="I645">
        <v>75</v>
      </c>
    </row>
    <row r="646" spans="1:9">
      <c r="A646">
        <v>645</v>
      </c>
      <c r="B646" s="1">
        <v>45247</v>
      </c>
      <c r="C646" t="s">
        <v>658</v>
      </c>
      <c r="D646" t="s">
        <v>13</v>
      </c>
      <c r="E646">
        <v>35</v>
      </c>
      <c r="F646" t="s">
        <v>16</v>
      </c>
      <c r="G646">
        <v>4</v>
      </c>
      <c r="H646">
        <v>30</v>
      </c>
      <c r="I646">
        <v>120</v>
      </c>
    </row>
    <row r="647" spans="1:9">
      <c r="A647">
        <v>646</v>
      </c>
      <c r="B647" s="1">
        <v>45049</v>
      </c>
      <c r="C647" t="s">
        <v>659</v>
      </c>
      <c r="D647" t="s">
        <v>10</v>
      </c>
      <c r="E647">
        <v>38</v>
      </c>
      <c r="F647" t="s">
        <v>14</v>
      </c>
      <c r="G647">
        <v>3</v>
      </c>
      <c r="H647">
        <v>30</v>
      </c>
      <c r="I647">
        <v>90</v>
      </c>
    </row>
    <row r="648" spans="1:9">
      <c r="A648">
        <v>647</v>
      </c>
      <c r="B648" s="1">
        <v>45067</v>
      </c>
      <c r="C648" t="s">
        <v>660</v>
      </c>
      <c r="D648" t="s">
        <v>10</v>
      </c>
      <c r="E648">
        <v>59</v>
      </c>
      <c r="F648" t="s">
        <v>14</v>
      </c>
      <c r="G648">
        <v>3</v>
      </c>
      <c r="H648">
        <v>500</v>
      </c>
      <c r="I648">
        <v>1500</v>
      </c>
    </row>
    <row r="649" spans="1:9">
      <c r="A649">
        <v>648</v>
      </c>
      <c r="B649" s="1">
        <v>45152</v>
      </c>
      <c r="C649" t="s">
        <v>661</v>
      </c>
      <c r="D649" t="s">
        <v>10</v>
      </c>
      <c r="E649">
        <v>53</v>
      </c>
      <c r="F649" t="s">
        <v>11</v>
      </c>
      <c r="G649">
        <v>4</v>
      </c>
      <c r="H649">
        <v>300</v>
      </c>
      <c r="I649">
        <v>1200</v>
      </c>
    </row>
    <row r="650" spans="1:9">
      <c r="A650">
        <v>649</v>
      </c>
      <c r="B650" s="1">
        <v>44966</v>
      </c>
      <c r="C650" t="s">
        <v>662</v>
      </c>
      <c r="D650" t="s">
        <v>13</v>
      </c>
      <c r="E650">
        <v>58</v>
      </c>
      <c r="F650" t="s">
        <v>14</v>
      </c>
      <c r="G650">
        <v>2</v>
      </c>
      <c r="H650">
        <v>300</v>
      </c>
      <c r="I650">
        <v>600</v>
      </c>
    </row>
    <row r="651" spans="1:9">
      <c r="A651">
        <v>650</v>
      </c>
      <c r="B651" s="1">
        <v>45292</v>
      </c>
      <c r="C651" t="s">
        <v>663</v>
      </c>
      <c r="D651" t="s">
        <v>10</v>
      </c>
      <c r="E651">
        <v>55</v>
      </c>
      <c r="F651" t="s">
        <v>16</v>
      </c>
      <c r="G651">
        <v>1</v>
      </c>
      <c r="H651">
        <v>30</v>
      </c>
      <c r="I651">
        <v>30</v>
      </c>
    </row>
    <row r="652" spans="1:9">
      <c r="A652">
        <v>651</v>
      </c>
      <c r="B652" s="1">
        <v>45073</v>
      </c>
      <c r="C652" t="s">
        <v>664</v>
      </c>
      <c r="D652" t="s">
        <v>10</v>
      </c>
      <c r="E652">
        <v>51</v>
      </c>
      <c r="F652" t="s">
        <v>14</v>
      </c>
      <c r="G652">
        <v>3</v>
      </c>
      <c r="H652">
        <v>50</v>
      </c>
      <c r="I652">
        <v>150</v>
      </c>
    </row>
    <row r="653" spans="1:9">
      <c r="A653">
        <v>652</v>
      </c>
      <c r="B653" s="1">
        <v>45047</v>
      </c>
      <c r="C653" t="s">
        <v>665</v>
      </c>
      <c r="D653" t="s">
        <v>13</v>
      </c>
      <c r="E653">
        <v>34</v>
      </c>
      <c r="F653" t="s">
        <v>11</v>
      </c>
      <c r="G653">
        <v>2</v>
      </c>
      <c r="H653">
        <v>50</v>
      </c>
      <c r="I653">
        <v>100</v>
      </c>
    </row>
    <row r="654" spans="1:9">
      <c r="A654">
        <v>653</v>
      </c>
      <c r="B654" s="1">
        <v>45066</v>
      </c>
      <c r="C654" t="s">
        <v>666</v>
      </c>
      <c r="D654" t="s">
        <v>10</v>
      </c>
      <c r="E654">
        <v>54</v>
      </c>
      <c r="F654" t="s">
        <v>14</v>
      </c>
      <c r="G654">
        <v>3</v>
      </c>
      <c r="H654">
        <v>25</v>
      </c>
      <c r="I654">
        <v>75</v>
      </c>
    </row>
    <row r="655" spans="1:9">
      <c r="A655">
        <v>654</v>
      </c>
      <c r="B655" s="1">
        <v>45098</v>
      </c>
      <c r="C655" t="s">
        <v>667</v>
      </c>
      <c r="D655" t="s">
        <v>10</v>
      </c>
      <c r="E655">
        <v>42</v>
      </c>
      <c r="F655" t="s">
        <v>14</v>
      </c>
      <c r="G655">
        <v>3</v>
      </c>
      <c r="H655">
        <v>25</v>
      </c>
      <c r="I655">
        <v>75</v>
      </c>
    </row>
    <row r="656" spans="1:9">
      <c r="A656">
        <v>655</v>
      </c>
      <c r="B656" s="1">
        <v>45090</v>
      </c>
      <c r="C656" t="s">
        <v>668</v>
      </c>
      <c r="D656" t="s">
        <v>13</v>
      </c>
      <c r="E656">
        <v>55</v>
      </c>
      <c r="F656" t="s">
        <v>14</v>
      </c>
      <c r="G656">
        <v>1</v>
      </c>
      <c r="H656">
        <v>500</v>
      </c>
      <c r="I656">
        <v>500</v>
      </c>
    </row>
    <row r="657" spans="1:9">
      <c r="A657">
        <v>656</v>
      </c>
      <c r="B657" s="1">
        <v>45203</v>
      </c>
      <c r="C657" t="s">
        <v>669</v>
      </c>
      <c r="D657" t="s">
        <v>10</v>
      </c>
      <c r="E657">
        <v>29</v>
      </c>
      <c r="F657" t="s">
        <v>11</v>
      </c>
      <c r="G657">
        <v>3</v>
      </c>
      <c r="H657">
        <v>30</v>
      </c>
      <c r="I657">
        <v>90</v>
      </c>
    </row>
    <row r="658" spans="1:9">
      <c r="A658">
        <v>657</v>
      </c>
      <c r="B658" s="1">
        <v>44968</v>
      </c>
      <c r="C658" t="s">
        <v>670</v>
      </c>
      <c r="D658" t="s">
        <v>10</v>
      </c>
      <c r="E658">
        <v>40</v>
      </c>
      <c r="F658" t="s">
        <v>14</v>
      </c>
      <c r="G658">
        <v>1</v>
      </c>
      <c r="H658">
        <v>25</v>
      </c>
      <c r="I658">
        <v>25</v>
      </c>
    </row>
    <row r="659" spans="1:9">
      <c r="A659">
        <v>658</v>
      </c>
      <c r="B659" s="1">
        <v>44997</v>
      </c>
      <c r="C659" t="s">
        <v>671</v>
      </c>
      <c r="D659" t="s">
        <v>10</v>
      </c>
      <c r="E659">
        <v>59</v>
      </c>
      <c r="F659" t="s">
        <v>14</v>
      </c>
      <c r="G659">
        <v>1</v>
      </c>
      <c r="H659">
        <v>25</v>
      </c>
      <c r="I659">
        <v>25</v>
      </c>
    </row>
    <row r="660" spans="1:9">
      <c r="A660">
        <v>659</v>
      </c>
      <c r="B660" s="1">
        <v>45004</v>
      </c>
      <c r="C660" t="s">
        <v>672</v>
      </c>
      <c r="D660" t="s">
        <v>13</v>
      </c>
      <c r="E660">
        <v>39</v>
      </c>
      <c r="F660" t="s">
        <v>16</v>
      </c>
      <c r="G660">
        <v>1</v>
      </c>
      <c r="H660">
        <v>30</v>
      </c>
      <c r="I660">
        <v>30</v>
      </c>
    </row>
    <row r="661" spans="1:9">
      <c r="A661">
        <v>660</v>
      </c>
      <c r="B661" s="1">
        <v>45045</v>
      </c>
      <c r="C661" t="s">
        <v>673</v>
      </c>
      <c r="D661" t="s">
        <v>13</v>
      </c>
      <c r="E661">
        <v>38</v>
      </c>
      <c r="F661" t="s">
        <v>11</v>
      </c>
      <c r="G661">
        <v>2</v>
      </c>
      <c r="H661">
        <v>500</v>
      </c>
      <c r="I661">
        <v>1000</v>
      </c>
    </row>
    <row r="662" spans="1:9">
      <c r="A662">
        <v>661</v>
      </c>
      <c r="B662" s="1">
        <v>45123</v>
      </c>
      <c r="C662" t="s">
        <v>674</v>
      </c>
      <c r="D662" t="s">
        <v>13</v>
      </c>
      <c r="E662">
        <v>44</v>
      </c>
      <c r="F662" t="s">
        <v>14</v>
      </c>
      <c r="G662">
        <v>4</v>
      </c>
      <c r="H662">
        <v>25</v>
      </c>
      <c r="I662">
        <v>100</v>
      </c>
    </row>
    <row r="663" spans="1:9">
      <c r="A663">
        <v>662</v>
      </c>
      <c r="B663" s="1">
        <v>45282</v>
      </c>
      <c r="C663" t="s">
        <v>675</v>
      </c>
      <c r="D663" t="s">
        <v>10</v>
      </c>
      <c r="E663">
        <v>48</v>
      </c>
      <c r="F663" t="s">
        <v>11</v>
      </c>
      <c r="G663">
        <v>2</v>
      </c>
      <c r="H663">
        <v>500</v>
      </c>
      <c r="I663">
        <v>1000</v>
      </c>
    </row>
    <row r="664" spans="1:9">
      <c r="A664">
        <v>663</v>
      </c>
      <c r="B664" s="1">
        <v>45005</v>
      </c>
      <c r="C664" t="s">
        <v>676</v>
      </c>
      <c r="D664" t="s">
        <v>10</v>
      </c>
      <c r="E664">
        <v>23</v>
      </c>
      <c r="F664" t="s">
        <v>14</v>
      </c>
      <c r="G664">
        <v>4</v>
      </c>
      <c r="H664">
        <v>300</v>
      </c>
      <c r="I664">
        <v>1200</v>
      </c>
    </row>
    <row r="665" spans="1:9">
      <c r="A665">
        <v>664</v>
      </c>
      <c r="B665" s="1">
        <v>45288</v>
      </c>
      <c r="C665" t="s">
        <v>677</v>
      </c>
      <c r="D665" t="s">
        <v>13</v>
      </c>
      <c r="E665">
        <v>44</v>
      </c>
      <c r="F665" t="s">
        <v>14</v>
      </c>
      <c r="G665">
        <v>4</v>
      </c>
      <c r="H665">
        <v>500</v>
      </c>
      <c r="I665">
        <v>2000</v>
      </c>
    </row>
    <row r="666" spans="1:9">
      <c r="A666">
        <v>665</v>
      </c>
      <c r="B666" s="1">
        <v>45036</v>
      </c>
      <c r="C666" t="s">
        <v>678</v>
      </c>
      <c r="D666" t="s">
        <v>10</v>
      </c>
      <c r="E666">
        <v>57</v>
      </c>
      <c r="F666" t="s">
        <v>14</v>
      </c>
      <c r="G666">
        <v>1</v>
      </c>
      <c r="H666">
        <v>50</v>
      </c>
      <c r="I666">
        <v>50</v>
      </c>
    </row>
    <row r="667" spans="1:9">
      <c r="A667">
        <v>666</v>
      </c>
      <c r="B667" s="1">
        <v>44959</v>
      </c>
      <c r="C667" t="s">
        <v>679</v>
      </c>
      <c r="D667" t="s">
        <v>10</v>
      </c>
      <c r="E667">
        <v>51</v>
      </c>
      <c r="F667" t="s">
        <v>16</v>
      </c>
      <c r="G667">
        <v>3</v>
      </c>
      <c r="H667">
        <v>50</v>
      </c>
      <c r="I667">
        <v>150</v>
      </c>
    </row>
    <row r="668" spans="1:9">
      <c r="A668">
        <v>667</v>
      </c>
      <c r="B668" s="1">
        <v>45139</v>
      </c>
      <c r="C668" t="s">
        <v>680</v>
      </c>
      <c r="D668" t="s">
        <v>13</v>
      </c>
      <c r="E668">
        <v>29</v>
      </c>
      <c r="F668" t="s">
        <v>16</v>
      </c>
      <c r="G668">
        <v>1</v>
      </c>
      <c r="H668">
        <v>500</v>
      </c>
      <c r="I668">
        <v>500</v>
      </c>
    </row>
    <row r="669" spans="1:9">
      <c r="A669">
        <v>668</v>
      </c>
      <c r="B669" s="1">
        <v>45135</v>
      </c>
      <c r="C669" t="s">
        <v>681</v>
      </c>
      <c r="D669" t="s">
        <v>13</v>
      </c>
      <c r="E669">
        <v>62</v>
      </c>
      <c r="F669" t="s">
        <v>16</v>
      </c>
      <c r="G669">
        <v>3</v>
      </c>
      <c r="H669">
        <v>50</v>
      </c>
      <c r="I669">
        <v>150</v>
      </c>
    </row>
    <row r="670" spans="1:9">
      <c r="A670">
        <v>669</v>
      </c>
      <c r="B670" s="1">
        <v>45096</v>
      </c>
      <c r="C670" t="s">
        <v>682</v>
      </c>
      <c r="D670" t="s">
        <v>10</v>
      </c>
      <c r="E670">
        <v>24</v>
      </c>
      <c r="F670" t="s">
        <v>11</v>
      </c>
      <c r="G670">
        <v>4</v>
      </c>
      <c r="H670">
        <v>300</v>
      </c>
      <c r="I670">
        <v>1200</v>
      </c>
    </row>
    <row r="671" spans="1:9">
      <c r="A671">
        <v>670</v>
      </c>
      <c r="B671" s="1">
        <v>45204</v>
      </c>
      <c r="C671" t="s">
        <v>683</v>
      </c>
      <c r="D671" t="s">
        <v>10</v>
      </c>
      <c r="E671">
        <v>27</v>
      </c>
      <c r="F671" t="s">
        <v>11</v>
      </c>
      <c r="G671">
        <v>1</v>
      </c>
      <c r="H671">
        <v>30</v>
      </c>
      <c r="I671">
        <v>30</v>
      </c>
    </row>
    <row r="672" spans="1:9">
      <c r="A672">
        <v>671</v>
      </c>
      <c r="B672" s="1">
        <v>45165</v>
      </c>
      <c r="C672" t="s">
        <v>684</v>
      </c>
      <c r="D672" t="s">
        <v>10</v>
      </c>
      <c r="E672">
        <v>62</v>
      </c>
      <c r="F672" t="s">
        <v>16</v>
      </c>
      <c r="G672">
        <v>3</v>
      </c>
      <c r="H672">
        <v>50</v>
      </c>
      <c r="I672">
        <v>150</v>
      </c>
    </row>
    <row r="673" spans="1:9">
      <c r="A673">
        <v>672</v>
      </c>
      <c r="B673" s="1">
        <v>45139</v>
      </c>
      <c r="C673" t="s">
        <v>685</v>
      </c>
      <c r="D673" t="s">
        <v>13</v>
      </c>
      <c r="E673">
        <v>34</v>
      </c>
      <c r="F673" t="s">
        <v>11</v>
      </c>
      <c r="G673">
        <v>2</v>
      </c>
      <c r="H673">
        <v>50</v>
      </c>
      <c r="I673">
        <v>100</v>
      </c>
    </row>
    <row r="674" spans="1:9">
      <c r="A674">
        <v>673</v>
      </c>
      <c r="B674" s="1">
        <v>44958</v>
      </c>
      <c r="C674" t="s">
        <v>686</v>
      </c>
      <c r="D674" t="s">
        <v>13</v>
      </c>
      <c r="E674">
        <v>43</v>
      </c>
      <c r="F674" t="s">
        <v>14</v>
      </c>
      <c r="G674">
        <v>3</v>
      </c>
      <c r="H674">
        <v>500</v>
      </c>
      <c r="I674">
        <v>1500</v>
      </c>
    </row>
    <row r="675" spans="1:9">
      <c r="A675">
        <v>674</v>
      </c>
      <c r="B675" s="1">
        <v>45032</v>
      </c>
      <c r="C675" t="s">
        <v>687</v>
      </c>
      <c r="D675" t="s">
        <v>13</v>
      </c>
      <c r="E675">
        <v>38</v>
      </c>
      <c r="F675" t="s">
        <v>14</v>
      </c>
      <c r="G675">
        <v>1</v>
      </c>
      <c r="H675">
        <v>300</v>
      </c>
      <c r="I675">
        <v>300</v>
      </c>
    </row>
    <row r="676" spans="1:9">
      <c r="A676">
        <v>675</v>
      </c>
      <c r="B676" s="1">
        <v>45142</v>
      </c>
      <c r="C676" t="s">
        <v>688</v>
      </c>
      <c r="D676" t="s">
        <v>13</v>
      </c>
      <c r="E676">
        <v>45</v>
      </c>
      <c r="F676" t="s">
        <v>14</v>
      </c>
      <c r="G676">
        <v>2</v>
      </c>
      <c r="H676">
        <v>30</v>
      </c>
      <c r="I676">
        <v>60</v>
      </c>
    </row>
    <row r="677" spans="1:9">
      <c r="A677">
        <v>676</v>
      </c>
      <c r="B677" s="1">
        <v>45126</v>
      </c>
      <c r="C677" t="s">
        <v>689</v>
      </c>
      <c r="D677" t="s">
        <v>10</v>
      </c>
      <c r="E677">
        <v>63</v>
      </c>
      <c r="F677" t="s">
        <v>16</v>
      </c>
      <c r="G677">
        <v>3</v>
      </c>
      <c r="H677">
        <v>500</v>
      </c>
      <c r="I677">
        <v>1500</v>
      </c>
    </row>
    <row r="678" spans="1:9">
      <c r="A678">
        <v>677</v>
      </c>
      <c r="B678" s="1">
        <v>45226</v>
      </c>
      <c r="C678" t="s">
        <v>690</v>
      </c>
      <c r="D678" t="s">
        <v>13</v>
      </c>
      <c r="E678">
        <v>19</v>
      </c>
      <c r="F678" t="s">
        <v>11</v>
      </c>
      <c r="G678">
        <v>3</v>
      </c>
      <c r="H678">
        <v>500</v>
      </c>
      <c r="I678">
        <v>1500</v>
      </c>
    </row>
    <row r="679" spans="1:9">
      <c r="A679">
        <v>678</v>
      </c>
      <c r="B679" s="1">
        <v>45283</v>
      </c>
      <c r="C679" t="s">
        <v>691</v>
      </c>
      <c r="D679" t="s">
        <v>13</v>
      </c>
      <c r="E679">
        <v>60</v>
      </c>
      <c r="F679" t="s">
        <v>16</v>
      </c>
      <c r="G679">
        <v>3</v>
      </c>
      <c r="H679">
        <v>300</v>
      </c>
      <c r="I679">
        <v>900</v>
      </c>
    </row>
    <row r="680" spans="1:9">
      <c r="A680">
        <v>679</v>
      </c>
      <c r="B680" s="1">
        <v>44937</v>
      </c>
      <c r="C680" t="s">
        <v>692</v>
      </c>
      <c r="D680" t="s">
        <v>13</v>
      </c>
      <c r="E680">
        <v>18</v>
      </c>
      <c r="F680" t="s">
        <v>11</v>
      </c>
      <c r="G680">
        <v>3</v>
      </c>
      <c r="H680">
        <v>30</v>
      </c>
      <c r="I680">
        <v>90</v>
      </c>
    </row>
    <row r="681" spans="1:9">
      <c r="A681">
        <v>680</v>
      </c>
      <c r="B681" s="1">
        <v>45221</v>
      </c>
      <c r="C681" t="s">
        <v>693</v>
      </c>
      <c r="D681" t="s">
        <v>13</v>
      </c>
      <c r="E681">
        <v>53</v>
      </c>
      <c r="F681" t="s">
        <v>14</v>
      </c>
      <c r="G681">
        <v>3</v>
      </c>
      <c r="H681">
        <v>300</v>
      </c>
      <c r="I681">
        <v>900</v>
      </c>
    </row>
    <row r="682" spans="1:9">
      <c r="A682">
        <v>681</v>
      </c>
      <c r="B682" s="1">
        <v>45121</v>
      </c>
      <c r="C682" t="s">
        <v>694</v>
      </c>
      <c r="D682" t="s">
        <v>13</v>
      </c>
      <c r="E682">
        <v>43</v>
      </c>
      <c r="F682" t="s">
        <v>16</v>
      </c>
      <c r="G682">
        <v>2</v>
      </c>
      <c r="H682">
        <v>30</v>
      </c>
      <c r="I682">
        <v>60</v>
      </c>
    </row>
    <row r="683" spans="1:9">
      <c r="A683">
        <v>682</v>
      </c>
      <c r="B683" s="1">
        <v>45171</v>
      </c>
      <c r="C683" t="s">
        <v>695</v>
      </c>
      <c r="D683" t="s">
        <v>10</v>
      </c>
      <c r="E683">
        <v>46</v>
      </c>
      <c r="F683" t="s">
        <v>11</v>
      </c>
      <c r="G683">
        <v>4</v>
      </c>
      <c r="H683">
        <v>300</v>
      </c>
      <c r="I683">
        <v>1200</v>
      </c>
    </row>
    <row r="684" spans="1:9">
      <c r="A684">
        <v>683</v>
      </c>
      <c r="B684" s="1">
        <v>44930</v>
      </c>
      <c r="C684" t="s">
        <v>696</v>
      </c>
      <c r="D684" t="s">
        <v>10</v>
      </c>
      <c r="E684">
        <v>38</v>
      </c>
      <c r="F684" t="s">
        <v>11</v>
      </c>
      <c r="G684">
        <v>2</v>
      </c>
      <c r="H684">
        <v>500</v>
      </c>
      <c r="I684">
        <v>1000</v>
      </c>
    </row>
    <row r="685" spans="1:9">
      <c r="A685">
        <v>684</v>
      </c>
      <c r="B685" s="1">
        <v>45107</v>
      </c>
      <c r="C685" t="s">
        <v>697</v>
      </c>
      <c r="D685" t="s">
        <v>13</v>
      </c>
      <c r="E685">
        <v>28</v>
      </c>
      <c r="F685" t="s">
        <v>14</v>
      </c>
      <c r="G685">
        <v>2</v>
      </c>
      <c r="H685">
        <v>500</v>
      </c>
      <c r="I685">
        <v>1000</v>
      </c>
    </row>
    <row r="686" spans="1:9">
      <c r="A686">
        <v>685</v>
      </c>
      <c r="B686" s="1">
        <v>45079</v>
      </c>
      <c r="C686" t="s">
        <v>698</v>
      </c>
      <c r="D686" t="s">
        <v>10</v>
      </c>
      <c r="E686">
        <v>57</v>
      </c>
      <c r="F686" t="s">
        <v>16</v>
      </c>
      <c r="G686">
        <v>2</v>
      </c>
      <c r="H686">
        <v>25</v>
      </c>
      <c r="I686">
        <v>50</v>
      </c>
    </row>
    <row r="687" spans="1:9">
      <c r="A687">
        <v>686</v>
      </c>
      <c r="B687" s="1">
        <v>45126</v>
      </c>
      <c r="C687" t="s">
        <v>699</v>
      </c>
      <c r="D687" t="s">
        <v>13</v>
      </c>
      <c r="E687">
        <v>28</v>
      </c>
      <c r="F687" t="s">
        <v>16</v>
      </c>
      <c r="G687">
        <v>4</v>
      </c>
      <c r="H687">
        <v>50</v>
      </c>
      <c r="I687">
        <v>200</v>
      </c>
    </row>
    <row r="688" spans="1:9">
      <c r="A688">
        <v>687</v>
      </c>
      <c r="B688" s="1">
        <v>45141</v>
      </c>
      <c r="C688" t="s">
        <v>700</v>
      </c>
      <c r="D688" t="s">
        <v>13</v>
      </c>
      <c r="E688">
        <v>53</v>
      </c>
      <c r="F688" t="s">
        <v>16</v>
      </c>
      <c r="G688">
        <v>1</v>
      </c>
      <c r="H688">
        <v>300</v>
      </c>
      <c r="I688">
        <v>300</v>
      </c>
    </row>
    <row r="689" spans="1:9">
      <c r="A689">
        <v>688</v>
      </c>
      <c r="B689" s="1">
        <v>45202</v>
      </c>
      <c r="C689" t="s">
        <v>701</v>
      </c>
      <c r="D689" t="s">
        <v>10</v>
      </c>
      <c r="E689">
        <v>56</v>
      </c>
      <c r="F689" t="s">
        <v>14</v>
      </c>
      <c r="G689">
        <v>4</v>
      </c>
      <c r="H689">
        <v>25</v>
      </c>
      <c r="I689">
        <v>100</v>
      </c>
    </row>
    <row r="690" spans="1:9">
      <c r="A690">
        <v>689</v>
      </c>
      <c r="B690" s="1">
        <v>45206</v>
      </c>
      <c r="C690" t="s">
        <v>702</v>
      </c>
      <c r="D690" t="s">
        <v>10</v>
      </c>
      <c r="E690">
        <v>57</v>
      </c>
      <c r="F690" t="s">
        <v>16</v>
      </c>
      <c r="G690">
        <v>2</v>
      </c>
      <c r="H690">
        <v>50</v>
      </c>
      <c r="I690">
        <v>100</v>
      </c>
    </row>
    <row r="691" spans="1:9">
      <c r="A691">
        <v>690</v>
      </c>
      <c r="B691" s="1">
        <v>45235</v>
      </c>
      <c r="C691" t="s">
        <v>703</v>
      </c>
      <c r="D691" t="s">
        <v>13</v>
      </c>
      <c r="E691">
        <v>52</v>
      </c>
      <c r="F691" t="s">
        <v>14</v>
      </c>
      <c r="G691">
        <v>3</v>
      </c>
      <c r="H691">
        <v>300</v>
      </c>
      <c r="I691">
        <v>900</v>
      </c>
    </row>
    <row r="692" spans="1:9">
      <c r="A692">
        <v>691</v>
      </c>
      <c r="B692" s="1">
        <v>45039</v>
      </c>
      <c r="C692" t="s">
        <v>704</v>
      </c>
      <c r="D692" t="s">
        <v>13</v>
      </c>
      <c r="E692">
        <v>51</v>
      </c>
      <c r="F692" t="s">
        <v>14</v>
      </c>
      <c r="G692">
        <v>3</v>
      </c>
      <c r="H692">
        <v>30</v>
      </c>
      <c r="I692">
        <v>90</v>
      </c>
    </row>
    <row r="693" spans="1:9">
      <c r="A693">
        <v>692</v>
      </c>
      <c r="B693" s="1">
        <v>45176</v>
      </c>
      <c r="C693" t="s">
        <v>705</v>
      </c>
      <c r="D693" t="s">
        <v>13</v>
      </c>
      <c r="E693">
        <v>64</v>
      </c>
      <c r="F693" t="s">
        <v>14</v>
      </c>
      <c r="G693">
        <v>2</v>
      </c>
      <c r="H693">
        <v>50</v>
      </c>
      <c r="I693">
        <v>100</v>
      </c>
    </row>
    <row r="694" spans="1:9">
      <c r="A694">
        <v>693</v>
      </c>
      <c r="B694" s="1">
        <v>45039</v>
      </c>
      <c r="C694" t="s">
        <v>706</v>
      </c>
      <c r="D694" t="s">
        <v>10</v>
      </c>
      <c r="E694">
        <v>41</v>
      </c>
      <c r="F694" t="s">
        <v>11</v>
      </c>
      <c r="G694">
        <v>3</v>
      </c>
      <c r="H694">
        <v>500</v>
      </c>
      <c r="I694">
        <v>1500</v>
      </c>
    </row>
    <row r="695" spans="1:9">
      <c r="A695">
        <v>694</v>
      </c>
      <c r="B695" s="1">
        <v>45066</v>
      </c>
      <c r="C695" t="s">
        <v>707</v>
      </c>
      <c r="D695" t="s">
        <v>13</v>
      </c>
      <c r="E695">
        <v>39</v>
      </c>
      <c r="F695" t="s">
        <v>16</v>
      </c>
      <c r="G695">
        <v>2</v>
      </c>
      <c r="H695">
        <v>25</v>
      </c>
      <c r="I695">
        <v>50</v>
      </c>
    </row>
    <row r="696" spans="1:9">
      <c r="A696">
        <v>695</v>
      </c>
      <c r="B696" s="1">
        <v>45150</v>
      </c>
      <c r="C696" t="s">
        <v>708</v>
      </c>
      <c r="D696" t="s">
        <v>13</v>
      </c>
      <c r="E696">
        <v>22</v>
      </c>
      <c r="F696" t="s">
        <v>16</v>
      </c>
      <c r="G696">
        <v>3</v>
      </c>
      <c r="H696">
        <v>50</v>
      </c>
      <c r="I696">
        <v>150</v>
      </c>
    </row>
    <row r="697" spans="1:9">
      <c r="A697">
        <v>696</v>
      </c>
      <c r="B697" s="1">
        <v>45175</v>
      </c>
      <c r="C697" t="s">
        <v>709</v>
      </c>
      <c r="D697" t="s">
        <v>13</v>
      </c>
      <c r="E697">
        <v>50</v>
      </c>
      <c r="F697" t="s">
        <v>14</v>
      </c>
      <c r="G697">
        <v>4</v>
      </c>
      <c r="H697">
        <v>50</v>
      </c>
      <c r="I697">
        <v>200</v>
      </c>
    </row>
    <row r="698" spans="1:9">
      <c r="A698">
        <v>697</v>
      </c>
      <c r="B698" s="1">
        <v>44941</v>
      </c>
      <c r="C698" t="s">
        <v>710</v>
      </c>
      <c r="D698" t="s">
        <v>10</v>
      </c>
      <c r="E698">
        <v>53</v>
      </c>
      <c r="F698" t="s">
        <v>14</v>
      </c>
      <c r="G698">
        <v>1</v>
      </c>
      <c r="H698">
        <v>500</v>
      </c>
      <c r="I698">
        <v>500</v>
      </c>
    </row>
    <row r="699" spans="1:9">
      <c r="A699">
        <v>698</v>
      </c>
      <c r="B699" s="1">
        <v>45126</v>
      </c>
      <c r="C699" t="s">
        <v>711</v>
      </c>
      <c r="D699" t="s">
        <v>13</v>
      </c>
      <c r="E699">
        <v>64</v>
      </c>
      <c r="F699" t="s">
        <v>16</v>
      </c>
      <c r="G699">
        <v>1</v>
      </c>
      <c r="H699">
        <v>300</v>
      </c>
      <c r="I699">
        <v>300</v>
      </c>
    </row>
    <row r="700" spans="1:9">
      <c r="A700">
        <v>699</v>
      </c>
      <c r="B700" s="1">
        <v>45099</v>
      </c>
      <c r="C700" t="s">
        <v>712</v>
      </c>
      <c r="D700" t="s">
        <v>13</v>
      </c>
      <c r="E700">
        <v>37</v>
      </c>
      <c r="F700" t="s">
        <v>14</v>
      </c>
      <c r="G700">
        <v>4</v>
      </c>
      <c r="H700">
        <v>30</v>
      </c>
      <c r="I700">
        <v>120</v>
      </c>
    </row>
    <row r="701" spans="1:9">
      <c r="A701">
        <v>700</v>
      </c>
      <c r="B701" s="1">
        <v>45269</v>
      </c>
      <c r="C701" t="s">
        <v>713</v>
      </c>
      <c r="D701" t="s">
        <v>10</v>
      </c>
      <c r="E701">
        <v>36</v>
      </c>
      <c r="F701" t="s">
        <v>16</v>
      </c>
      <c r="G701">
        <v>4</v>
      </c>
      <c r="H701">
        <v>500</v>
      </c>
      <c r="I701">
        <v>2000</v>
      </c>
    </row>
    <row r="702" spans="1:9">
      <c r="A702">
        <v>701</v>
      </c>
      <c r="B702" s="1">
        <v>45274</v>
      </c>
      <c r="C702" t="s">
        <v>714</v>
      </c>
      <c r="D702" t="s">
        <v>13</v>
      </c>
      <c r="E702">
        <v>52</v>
      </c>
      <c r="F702" t="s">
        <v>11</v>
      </c>
      <c r="G702">
        <v>2</v>
      </c>
      <c r="H702">
        <v>30</v>
      </c>
      <c r="I702">
        <v>60</v>
      </c>
    </row>
    <row r="703" spans="1:9">
      <c r="A703">
        <v>702</v>
      </c>
      <c r="B703" s="1">
        <v>45134</v>
      </c>
      <c r="C703" t="s">
        <v>715</v>
      </c>
      <c r="D703" t="s">
        <v>13</v>
      </c>
      <c r="E703">
        <v>60</v>
      </c>
      <c r="F703" t="s">
        <v>14</v>
      </c>
      <c r="G703">
        <v>2</v>
      </c>
      <c r="H703">
        <v>300</v>
      </c>
      <c r="I703">
        <v>600</v>
      </c>
    </row>
    <row r="704" spans="1:9">
      <c r="A704">
        <v>703</v>
      </c>
      <c r="B704" s="1">
        <v>45011</v>
      </c>
      <c r="C704" t="s">
        <v>716</v>
      </c>
      <c r="D704" t="s">
        <v>10</v>
      </c>
      <c r="E704">
        <v>34</v>
      </c>
      <c r="F704" t="s">
        <v>16</v>
      </c>
      <c r="G704">
        <v>2</v>
      </c>
      <c r="H704">
        <v>50</v>
      </c>
      <c r="I704">
        <v>100</v>
      </c>
    </row>
    <row r="705" spans="1:9">
      <c r="A705">
        <v>704</v>
      </c>
      <c r="B705" s="1">
        <v>45166</v>
      </c>
      <c r="C705" t="s">
        <v>717</v>
      </c>
      <c r="D705" t="s">
        <v>13</v>
      </c>
      <c r="E705">
        <v>62</v>
      </c>
      <c r="F705" t="s">
        <v>14</v>
      </c>
      <c r="G705">
        <v>3</v>
      </c>
      <c r="H705">
        <v>30</v>
      </c>
      <c r="I705">
        <v>90</v>
      </c>
    </row>
    <row r="706" spans="1:9">
      <c r="A706">
        <v>705</v>
      </c>
      <c r="B706" s="1">
        <v>44992</v>
      </c>
      <c r="C706" t="s">
        <v>718</v>
      </c>
      <c r="D706" t="s">
        <v>10</v>
      </c>
      <c r="E706">
        <v>60</v>
      </c>
      <c r="F706" t="s">
        <v>16</v>
      </c>
      <c r="G706">
        <v>2</v>
      </c>
      <c r="H706">
        <v>25</v>
      </c>
      <c r="I706">
        <v>50</v>
      </c>
    </row>
    <row r="707" spans="1:9">
      <c r="A707">
        <v>706</v>
      </c>
      <c r="B707" s="1">
        <v>45245</v>
      </c>
      <c r="C707" t="s">
        <v>719</v>
      </c>
      <c r="D707" t="s">
        <v>10</v>
      </c>
      <c r="E707">
        <v>51</v>
      </c>
      <c r="F707" t="s">
        <v>16</v>
      </c>
      <c r="G707">
        <v>4</v>
      </c>
      <c r="H707">
        <v>25</v>
      </c>
      <c r="I707">
        <v>100</v>
      </c>
    </row>
    <row r="708" spans="1:9">
      <c r="A708">
        <v>707</v>
      </c>
      <c r="B708" s="1">
        <v>45200</v>
      </c>
      <c r="C708" t="s">
        <v>720</v>
      </c>
      <c r="D708" t="s">
        <v>13</v>
      </c>
      <c r="E708">
        <v>26</v>
      </c>
      <c r="F708" t="s">
        <v>14</v>
      </c>
      <c r="G708">
        <v>1</v>
      </c>
      <c r="H708">
        <v>500</v>
      </c>
      <c r="I708">
        <v>500</v>
      </c>
    </row>
    <row r="709" spans="1:9">
      <c r="A709">
        <v>708</v>
      </c>
      <c r="B709" s="1">
        <v>44940</v>
      </c>
      <c r="C709" t="s">
        <v>721</v>
      </c>
      <c r="D709" t="s">
        <v>13</v>
      </c>
      <c r="E709">
        <v>43</v>
      </c>
      <c r="F709" t="s">
        <v>11</v>
      </c>
      <c r="G709">
        <v>3</v>
      </c>
      <c r="H709">
        <v>300</v>
      </c>
      <c r="I709">
        <v>900</v>
      </c>
    </row>
    <row r="710" spans="1:9">
      <c r="A710">
        <v>709</v>
      </c>
      <c r="B710" s="1">
        <v>45128</v>
      </c>
      <c r="C710" t="s">
        <v>722</v>
      </c>
      <c r="D710" t="s">
        <v>13</v>
      </c>
      <c r="E710">
        <v>19</v>
      </c>
      <c r="F710" t="s">
        <v>16</v>
      </c>
      <c r="G710">
        <v>2</v>
      </c>
      <c r="H710">
        <v>500</v>
      </c>
      <c r="I710">
        <v>1000</v>
      </c>
    </row>
    <row r="711" spans="1:9">
      <c r="A711">
        <v>710</v>
      </c>
      <c r="B711" s="1">
        <v>45230</v>
      </c>
      <c r="C711" t="s">
        <v>723</v>
      </c>
      <c r="D711" t="s">
        <v>13</v>
      </c>
      <c r="E711">
        <v>26</v>
      </c>
      <c r="F711" t="s">
        <v>16</v>
      </c>
      <c r="G711">
        <v>3</v>
      </c>
      <c r="H711">
        <v>500</v>
      </c>
      <c r="I711">
        <v>1500</v>
      </c>
    </row>
    <row r="712" spans="1:9">
      <c r="A712">
        <v>711</v>
      </c>
      <c r="B712" s="1">
        <v>45215</v>
      </c>
      <c r="C712" t="s">
        <v>724</v>
      </c>
      <c r="D712" t="s">
        <v>10</v>
      </c>
      <c r="E712">
        <v>26</v>
      </c>
      <c r="F712" t="s">
        <v>16</v>
      </c>
      <c r="G712">
        <v>3</v>
      </c>
      <c r="H712">
        <v>500</v>
      </c>
      <c r="I712">
        <v>1500</v>
      </c>
    </row>
    <row r="713" spans="1:9">
      <c r="A713">
        <v>712</v>
      </c>
      <c r="B713" s="1">
        <v>45266</v>
      </c>
      <c r="C713" t="s">
        <v>725</v>
      </c>
      <c r="D713" t="s">
        <v>13</v>
      </c>
      <c r="E713">
        <v>57</v>
      </c>
      <c r="F713" t="s">
        <v>11</v>
      </c>
      <c r="G713">
        <v>2</v>
      </c>
      <c r="H713">
        <v>25</v>
      </c>
      <c r="I713">
        <v>50</v>
      </c>
    </row>
    <row r="714" spans="1:9">
      <c r="A714">
        <v>713</v>
      </c>
      <c r="B714" s="1">
        <v>44940</v>
      </c>
      <c r="C714" t="s">
        <v>726</v>
      </c>
      <c r="D714" t="s">
        <v>10</v>
      </c>
      <c r="E714">
        <v>34</v>
      </c>
      <c r="F714" t="s">
        <v>11</v>
      </c>
      <c r="G714">
        <v>3</v>
      </c>
      <c r="H714">
        <v>25</v>
      </c>
      <c r="I714">
        <v>75</v>
      </c>
    </row>
    <row r="715" spans="1:9">
      <c r="A715">
        <v>714</v>
      </c>
      <c r="B715" s="1">
        <v>44969</v>
      </c>
      <c r="C715" t="s">
        <v>727</v>
      </c>
      <c r="D715" t="s">
        <v>13</v>
      </c>
      <c r="E715">
        <v>18</v>
      </c>
      <c r="F715" t="s">
        <v>14</v>
      </c>
      <c r="G715">
        <v>1</v>
      </c>
      <c r="H715">
        <v>500</v>
      </c>
      <c r="I715">
        <v>500</v>
      </c>
    </row>
    <row r="716" spans="1:9">
      <c r="A716">
        <v>715</v>
      </c>
      <c r="B716" s="1">
        <v>45256</v>
      </c>
      <c r="C716" t="s">
        <v>728</v>
      </c>
      <c r="D716" t="s">
        <v>13</v>
      </c>
      <c r="E716">
        <v>42</v>
      </c>
      <c r="F716" t="s">
        <v>11</v>
      </c>
      <c r="G716">
        <v>4</v>
      </c>
      <c r="H716">
        <v>25</v>
      </c>
      <c r="I716">
        <v>100</v>
      </c>
    </row>
    <row r="717" spans="1:9">
      <c r="A717">
        <v>716</v>
      </c>
      <c r="B717" s="1">
        <v>45146</v>
      </c>
      <c r="C717" t="s">
        <v>729</v>
      </c>
      <c r="D717" t="s">
        <v>13</v>
      </c>
      <c r="E717">
        <v>60</v>
      </c>
      <c r="F717" t="s">
        <v>14</v>
      </c>
      <c r="G717">
        <v>4</v>
      </c>
      <c r="H717">
        <v>300</v>
      </c>
      <c r="I717">
        <v>1200</v>
      </c>
    </row>
    <row r="718" spans="1:9">
      <c r="A718">
        <v>717</v>
      </c>
      <c r="B718" s="1">
        <v>44996</v>
      </c>
      <c r="C718" t="s">
        <v>730</v>
      </c>
      <c r="D718" t="s">
        <v>10</v>
      </c>
      <c r="E718">
        <v>57</v>
      </c>
      <c r="F718" t="s">
        <v>14</v>
      </c>
      <c r="G718">
        <v>1</v>
      </c>
      <c r="H718">
        <v>500</v>
      </c>
      <c r="I718">
        <v>500</v>
      </c>
    </row>
    <row r="719" spans="1:9">
      <c r="A719">
        <v>718</v>
      </c>
      <c r="B719" s="1">
        <v>45163</v>
      </c>
      <c r="C719" t="s">
        <v>731</v>
      </c>
      <c r="D719" t="s">
        <v>13</v>
      </c>
      <c r="E719">
        <v>59</v>
      </c>
      <c r="F719" t="s">
        <v>11</v>
      </c>
      <c r="G719">
        <v>3</v>
      </c>
      <c r="H719">
        <v>25</v>
      </c>
      <c r="I719">
        <v>75</v>
      </c>
    </row>
    <row r="720" spans="1:9">
      <c r="A720">
        <v>719</v>
      </c>
      <c r="B720" s="1">
        <v>45020</v>
      </c>
      <c r="C720" t="s">
        <v>732</v>
      </c>
      <c r="D720" t="s">
        <v>13</v>
      </c>
      <c r="E720">
        <v>42</v>
      </c>
      <c r="F720" t="s">
        <v>14</v>
      </c>
      <c r="G720">
        <v>2</v>
      </c>
      <c r="H720">
        <v>30</v>
      </c>
      <c r="I720">
        <v>60</v>
      </c>
    </row>
    <row r="721" spans="1:9">
      <c r="A721">
        <v>720</v>
      </c>
      <c r="B721" s="1">
        <v>44952</v>
      </c>
      <c r="C721" t="s">
        <v>733</v>
      </c>
      <c r="D721" t="s">
        <v>13</v>
      </c>
      <c r="E721">
        <v>56</v>
      </c>
      <c r="F721" t="s">
        <v>11</v>
      </c>
      <c r="G721">
        <v>3</v>
      </c>
      <c r="H721">
        <v>500</v>
      </c>
      <c r="I721">
        <v>1500</v>
      </c>
    </row>
    <row r="722" spans="1:9">
      <c r="A722">
        <v>721</v>
      </c>
      <c r="B722" s="1">
        <v>45060</v>
      </c>
      <c r="C722" t="s">
        <v>734</v>
      </c>
      <c r="D722" t="s">
        <v>13</v>
      </c>
      <c r="E722">
        <v>52</v>
      </c>
      <c r="F722" t="s">
        <v>14</v>
      </c>
      <c r="G722">
        <v>1</v>
      </c>
      <c r="H722">
        <v>500</v>
      </c>
      <c r="I722">
        <v>500</v>
      </c>
    </row>
    <row r="723" spans="1:9">
      <c r="A723">
        <v>722</v>
      </c>
      <c r="B723" s="1">
        <v>45121</v>
      </c>
      <c r="C723" t="s">
        <v>735</v>
      </c>
      <c r="D723" t="s">
        <v>10</v>
      </c>
      <c r="E723">
        <v>20</v>
      </c>
      <c r="F723" t="s">
        <v>11</v>
      </c>
      <c r="G723">
        <v>3</v>
      </c>
      <c r="H723">
        <v>300</v>
      </c>
      <c r="I723">
        <v>900</v>
      </c>
    </row>
    <row r="724" spans="1:9">
      <c r="A724">
        <v>723</v>
      </c>
      <c r="B724" s="1">
        <v>45094</v>
      </c>
      <c r="C724" t="s">
        <v>736</v>
      </c>
      <c r="D724" t="s">
        <v>13</v>
      </c>
      <c r="E724">
        <v>54</v>
      </c>
      <c r="F724" t="s">
        <v>11</v>
      </c>
      <c r="G724">
        <v>4</v>
      </c>
      <c r="H724">
        <v>50</v>
      </c>
      <c r="I724">
        <v>200</v>
      </c>
    </row>
    <row r="725" spans="1:9">
      <c r="A725">
        <v>724</v>
      </c>
      <c r="B725" s="1">
        <v>45035</v>
      </c>
      <c r="C725" t="s">
        <v>737</v>
      </c>
      <c r="D725" t="s">
        <v>10</v>
      </c>
      <c r="E725">
        <v>61</v>
      </c>
      <c r="F725" t="s">
        <v>14</v>
      </c>
      <c r="G725">
        <v>3</v>
      </c>
      <c r="H725">
        <v>50</v>
      </c>
      <c r="I725">
        <v>150</v>
      </c>
    </row>
    <row r="726" spans="1:9">
      <c r="A726">
        <v>725</v>
      </c>
      <c r="B726" s="1">
        <v>45159</v>
      </c>
      <c r="C726" t="s">
        <v>738</v>
      </c>
      <c r="D726" t="s">
        <v>10</v>
      </c>
      <c r="E726">
        <v>61</v>
      </c>
      <c r="F726" t="s">
        <v>16</v>
      </c>
      <c r="G726">
        <v>1</v>
      </c>
      <c r="H726">
        <v>300</v>
      </c>
      <c r="I726">
        <v>300</v>
      </c>
    </row>
    <row r="727" spans="1:9">
      <c r="A727">
        <v>726</v>
      </c>
      <c r="B727" s="1">
        <v>45094</v>
      </c>
      <c r="C727" t="s">
        <v>739</v>
      </c>
      <c r="D727" t="s">
        <v>10</v>
      </c>
      <c r="E727">
        <v>47</v>
      </c>
      <c r="F727" t="s">
        <v>14</v>
      </c>
      <c r="G727">
        <v>4</v>
      </c>
      <c r="H727">
        <v>300</v>
      </c>
      <c r="I727">
        <v>1200</v>
      </c>
    </row>
    <row r="728" spans="1:9">
      <c r="A728">
        <v>727</v>
      </c>
      <c r="B728" s="1">
        <v>45099</v>
      </c>
      <c r="C728" t="s">
        <v>740</v>
      </c>
      <c r="D728" t="s">
        <v>10</v>
      </c>
      <c r="E728">
        <v>55</v>
      </c>
      <c r="F728" t="s">
        <v>11</v>
      </c>
      <c r="G728">
        <v>3</v>
      </c>
      <c r="H728">
        <v>300</v>
      </c>
      <c r="I728">
        <v>900</v>
      </c>
    </row>
    <row r="729" spans="1:9">
      <c r="A729">
        <v>728</v>
      </c>
      <c r="B729" s="1">
        <v>45121</v>
      </c>
      <c r="C729" t="s">
        <v>741</v>
      </c>
      <c r="D729" t="s">
        <v>10</v>
      </c>
      <c r="E729">
        <v>51</v>
      </c>
      <c r="F729" t="s">
        <v>16</v>
      </c>
      <c r="G729">
        <v>3</v>
      </c>
      <c r="H729">
        <v>50</v>
      </c>
      <c r="I729">
        <v>150</v>
      </c>
    </row>
    <row r="730" spans="1:9">
      <c r="A730">
        <v>729</v>
      </c>
      <c r="B730" s="1">
        <v>45069</v>
      </c>
      <c r="C730" t="s">
        <v>742</v>
      </c>
      <c r="D730" t="s">
        <v>10</v>
      </c>
      <c r="E730">
        <v>29</v>
      </c>
      <c r="F730" t="s">
        <v>14</v>
      </c>
      <c r="G730">
        <v>4</v>
      </c>
      <c r="H730">
        <v>300</v>
      </c>
      <c r="I730">
        <v>1200</v>
      </c>
    </row>
    <row r="731" spans="1:9">
      <c r="A731">
        <v>730</v>
      </c>
      <c r="B731" s="1">
        <v>45142</v>
      </c>
      <c r="C731" t="s">
        <v>743</v>
      </c>
      <c r="D731" t="s">
        <v>13</v>
      </c>
      <c r="E731">
        <v>36</v>
      </c>
      <c r="F731" t="s">
        <v>14</v>
      </c>
      <c r="G731">
        <v>2</v>
      </c>
      <c r="H731">
        <v>25</v>
      </c>
      <c r="I731">
        <v>50</v>
      </c>
    </row>
    <row r="732" spans="1:9">
      <c r="A732">
        <v>731</v>
      </c>
      <c r="B732" s="1">
        <v>45056</v>
      </c>
      <c r="C732" t="s">
        <v>744</v>
      </c>
      <c r="D732" t="s">
        <v>10</v>
      </c>
      <c r="E732">
        <v>54</v>
      </c>
      <c r="F732" t="s">
        <v>14</v>
      </c>
      <c r="G732">
        <v>4</v>
      </c>
      <c r="H732">
        <v>500</v>
      </c>
      <c r="I732">
        <v>2000</v>
      </c>
    </row>
    <row r="733" spans="1:9">
      <c r="A733">
        <v>732</v>
      </c>
      <c r="B733" s="1">
        <v>44968</v>
      </c>
      <c r="C733" t="s">
        <v>745</v>
      </c>
      <c r="D733" t="s">
        <v>10</v>
      </c>
      <c r="E733">
        <v>61</v>
      </c>
      <c r="F733" t="s">
        <v>16</v>
      </c>
      <c r="G733">
        <v>2</v>
      </c>
      <c r="H733">
        <v>500</v>
      </c>
      <c r="I733">
        <v>1000</v>
      </c>
    </row>
    <row r="734" spans="1:9">
      <c r="A734">
        <v>733</v>
      </c>
      <c r="B734" s="1">
        <v>45167</v>
      </c>
      <c r="C734" t="s">
        <v>746</v>
      </c>
      <c r="D734" t="s">
        <v>10</v>
      </c>
      <c r="E734">
        <v>34</v>
      </c>
      <c r="F734" t="s">
        <v>11</v>
      </c>
      <c r="G734">
        <v>1</v>
      </c>
      <c r="H734">
        <v>30</v>
      </c>
      <c r="I734">
        <v>30</v>
      </c>
    </row>
    <row r="735" spans="1:9">
      <c r="A735">
        <v>734</v>
      </c>
      <c r="B735" s="1">
        <v>44936</v>
      </c>
      <c r="C735" t="s">
        <v>747</v>
      </c>
      <c r="D735" t="s">
        <v>13</v>
      </c>
      <c r="E735">
        <v>27</v>
      </c>
      <c r="F735" t="s">
        <v>14</v>
      </c>
      <c r="G735">
        <v>1</v>
      </c>
      <c r="H735">
        <v>30</v>
      </c>
      <c r="I735">
        <v>30</v>
      </c>
    </row>
    <row r="736" spans="1:9">
      <c r="A736">
        <v>735</v>
      </c>
      <c r="B736" s="1">
        <v>45203</v>
      </c>
      <c r="C736" t="s">
        <v>748</v>
      </c>
      <c r="D736" t="s">
        <v>13</v>
      </c>
      <c r="E736">
        <v>64</v>
      </c>
      <c r="F736" t="s">
        <v>14</v>
      </c>
      <c r="G736">
        <v>4</v>
      </c>
      <c r="H736">
        <v>500</v>
      </c>
      <c r="I736">
        <v>2000</v>
      </c>
    </row>
    <row r="737" spans="1:9">
      <c r="A737">
        <v>736</v>
      </c>
      <c r="B737" s="1">
        <v>44953</v>
      </c>
      <c r="C737" t="s">
        <v>749</v>
      </c>
      <c r="D737" t="s">
        <v>10</v>
      </c>
      <c r="E737">
        <v>29</v>
      </c>
      <c r="F737" t="s">
        <v>14</v>
      </c>
      <c r="G737">
        <v>4</v>
      </c>
      <c r="H737">
        <v>25</v>
      </c>
      <c r="I737">
        <v>100</v>
      </c>
    </row>
    <row r="738" spans="1:9">
      <c r="A738">
        <v>737</v>
      </c>
      <c r="B738" s="1">
        <v>45106</v>
      </c>
      <c r="C738" t="s">
        <v>750</v>
      </c>
      <c r="D738" t="s">
        <v>13</v>
      </c>
      <c r="E738">
        <v>33</v>
      </c>
      <c r="F738" t="s">
        <v>14</v>
      </c>
      <c r="G738">
        <v>1</v>
      </c>
      <c r="H738">
        <v>50</v>
      </c>
      <c r="I738">
        <v>50</v>
      </c>
    </row>
    <row r="739" spans="1:9">
      <c r="A739">
        <v>738</v>
      </c>
      <c r="B739" s="1">
        <v>45041</v>
      </c>
      <c r="C739" t="s">
        <v>751</v>
      </c>
      <c r="D739" t="s">
        <v>10</v>
      </c>
      <c r="E739">
        <v>41</v>
      </c>
      <c r="F739" t="s">
        <v>14</v>
      </c>
      <c r="G739">
        <v>2</v>
      </c>
      <c r="H739">
        <v>50</v>
      </c>
      <c r="I739">
        <v>100</v>
      </c>
    </row>
    <row r="740" spans="1:9">
      <c r="A740">
        <v>739</v>
      </c>
      <c r="B740" s="1">
        <v>45259</v>
      </c>
      <c r="C740" t="s">
        <v>752</v>
      </c>
      <c r="D740" t="s">
        <v>10</v>
      </c>
      <c r="E740">
        <v>36</v>
      </c>
      <c r="F740" t="s">
        <v>11</v>
      </c>
      <c r="G740">
        <v>1</v>
      </c>
      <c r="H740">
        <v>25</v>
      </c>
      <c r="I740">
        <v>25</v>
      </c>
    </row>
    <row r="741" spans="1:9">
      <c r="A741">
        <v>740</v>
      </c>
      <c r="B741" s="1">
        <v>44962</v>
      </c>
      <c r="C741" t="s">
        <v>753</v>
      </c>
      <c r="D741" t="s">
        <v>13</v>
      </c>
      <c r="E741">
        <v>25</v>
      </c>
      <c r="F741" t="s">
        <v>11</v>
      </c>
      <c r="G741">
        <v>4</v>
      </c>
      <c r="H741">
        <v>50</v>
      </c>
      <c r="I741">
        <v>200</v>
      </c>
    </row>
    <row r="742" spans="1:9">
      <c r="A742">
        <v>741</v>
      </c>
      <c r="B742" s="1">
        <v>45260</v>
      </c>
      <c r="C742" t="s">
        <v>754</v>
      </c>
      <c r="D742" t="s">
        <v>10</v>
      </c>
      <c r="E742">
        <v>48</v>
      </c>
      <c r="F742" t="s">
        <v>14</v>
      </c>
      <c r="G742">
        <v>1</v>
      </c>
      <c r="H742">
        <v>300</v>
      </c>
      <c r="I742">
        <v>300</v>
      </c>
    </row>
    <row r="743" spans="1:9">
      <c r="A743">
        <v>742</v>
      </c>
      <c r="B743" s="1">
        <v>44947</v>
      </c>
      <c r="C743" t="s">
        <v>755</v>
      </c>
      <c r="D743" t="s">
        <v>13</v>
      </c>
      <c r="E743">
        <v>38</v>
      </c>
      <c r="F743" t="s">
        <v>16</v>
      </c>
      <c r="G743">
        <v>4</v>
      </c>
      <c r="H743">
        <v>500</v>
      </c>
      <c r="I743">
        <v>2000</v>
      </c>
    </row>
    <row r="744" spans="1:9">
      <c r="A744">
        <v>743</v>
      </c>
      <c r="B744" s="1">
        <v>44942</v>
      </c>
      <c r="C744" t="s">
        <v>756</v>
      </c>
      <c r="D744" t="s">
        <v>13</v>
      </c>
      <c r="E744">
        <v>34</v>
      </c>
      <c r="F744" t="s">
        <v>11</v>
      </c>
      <c r="G744">
        <v>4</v>
      </c>
      <c r="H744">
        <v>500</v>
      </c>
      <c r="I744">
        <v>2000</v>
      </c>
    </row>
    <row r="745" spans="1:9">
      <c r="A745">
        <v>744</v>
      </c>
      <c r="B745" s="1">
        <v>45053</v>
      </c>
      <c r="C745" t="s">
        <v>757</v>
      </c>
      <c r="D745" t="s">
        <v>10</v>
      </c>
      <c r="E745">
        <v>40</v>
      </c>
      <c r="F745" t="s">
        <v>16</v>
      </c>
      <c r="G745">
        <v>1</v>
      </c>
      <c r="H745">
        <v>25</v>
      </c>
      <c r="I745">
        <v>25</v>
      </c>
    </row>
    <row r="746" spans="1:9">
      <c r="A746">
        <v>745</v>
      </c>
      <c r="B746" s="1">
        <v>45029</v>
      </c>
      <c r="C746" t="s">
        <v>758</v>
      </c>
      <c r="D746" t="s">
        <v>10</v>
      </c>
      <c r="E746">
        <v>54</v>
      </c>
      <c r="F746" t="s">
        <v>11</v>
      </c>
      <c r="G746">
        <v>2</v>
      </c>
      <c r="H746">
        <v>50</v>
      </c>
      <c r="I746">
        <v>100</v>
      </c>
    </row>
    <row r="747" spans="1:9">
      <c r="A747">
        <v>746</v>
      </c>
      <c r="B747" s="1">
        <v>44937</v>
      </c>
      <c r="C747" t="s">
        <v>759</v>
      </c>
      <c r="D747" t="s">
        <v>13</v>
      </c>
      <c r="E747">
        <v>33</v>
      </c>
      <c r="F747" t="s">
        <v>14</v>
      </c>
      <c r="G747">
        <v>3</v>
      </c>
      <c r="H747">
        <v>30</v>
      </c>
      <c r="I747">
        <v>90</v>
      </c>
    </row>
    <row r="748" spans="1:9">
      <c r="A748">
        <v>747</v>
      </c>
      <c r="B748" s="1">
        <v>45245</v>
      </c>
      <c r="C748" t="s">
        <v>760</v>
      </c>
      <c r="D748" t="s">
        <v>10</v>
      </c>
      <c r="E748">
        <v>23</v>
      </c>
      <c r="F748" t="s">
        <v>11</v>
      </c>
      <c r="G748">
        <v>1</v>
      </c>
      <c r="H748">
        <v>30</v>
      </c>
      <c r="I748">
        <v>30</v>
      </c>
    </row>
    <row r="749" spans="1:9">
      <c r="A749">
        <v>748</v>
      </c>
      <c r="B749" s="1">
        <v>45005</v>
      </c>
      <c r="C749" t="s">
        <v>761</v>
      </c>
      <c r="D749" t="s">
        <v>10</v>
      </c>
      <c r="E749">
        <v>25</v>
      </c>
      <c r="F749" t="s">
        <v>14</v>
      </c>
      <c r="G749">
        <v>3</v>
      </c>
      <c r="H749">
        <v>50</v>
      </c>
      <c r="I749">
        <v>150</v>
      </c>
    </row>
    <row r="750" spans="1:9">
      <c r="A750">
        <v>749</v>
      </c>
      <c r="B750" s="1">
        <v>45049</v>
      </c>
      <c r="C750" t="s">
        <v>762</v>
      </c>
      <c r="D750" t="s">
        <v>10</v>
      </c>
      <c r="E750">
        <v>42</v>
      </c>
      <c r="F750" t="s">
        <v>11</v>
      </c>
      <c r="G750">
        <v>1</v>
      </c>
      <c r="H750">
        <v>30</v>
      </c>
      <c r="I750">
        <v>30</v>
      </c>
    </row>
    <row r="751" spans="1:9">
      <c r="A751">
        <v>750</v>
      </c>
      <c r="B751" s="1">
        <v>44991</v>
      </c>
      <c r="C751" t="s">
        <v>763</v>
      </c>
      <c r="D751" t="s">
        <v>13</v>
      </c>
      <c r="E751">
        <v>35</v>
      </c>
      <c r="F751" t="s">
        <v>14</v>
      </c>
      <c r="G751">
        <v>3</v>
      </c>
      <c r="H751">
        <v>25</v>
      </c>
      <c r="I751">
        <v>75</v>
      </c>
    </row>
    <row r="752" spans="1:9">
      <c r="A752">
        <v>751</v>
      </c>
      <c r="B752" s="1">
        <v>45169</v>
      </c>
      <c r="C752" t="s">
        <v>764</v>
      </c>
      <c r="D752" t="s">
        <v>13</v>
      </c>
      <c r="E752">
        <v>42</v>
      </c>
      <c r="F752" t="s">
        <v>14</v>
      </c>
      <c r="G752">
        <v>2</v>
      </c>
      <c r="H752">
        <v>25</v>
      </c>
      <c r="I752">
        <v>50</v>
      </c>
    </row>
    <row r="753" spans="1:9">
      <c r="A753">
        <v>752</v>
      </c>
      <c r="B753" s="1">
        <v>45269</v>
      </c>
      <c r="C753" t="s">
        <v>765</v>
      </c>
      <c r="D753" t="s">
        <v>10</v>
      </c>
      <c r="E753">
        <v>29</v>
      </c>
      <c r="F753" t="s">
        <v>14</v>
      </c>
      <c r="G753">
        <v>2</v>
      </c>
      <c r="H753">
        <v>50</v>
      </c>
      <c r="I753">
        <v>100</v>
      </c>
    </row>
    <row r="754" spans="1:9">
      <c r="A754">
        <v>753</v>
      </c>
      <c r="B754" s="1">
        <v>44985</v>
      </c>
      <c r="C754" t="s">
        <v>766</v>
      </c>
      <c r="D754" t="s">
        <v>13</v>
      </c>
      <c r="E754">
        <v>32</v>
      </c>
      <c r="F754" t="s">
        <v>14</v>
      </c>
      <c r="G754">
        <v>1</v>
      </c>
      <c r="H754">
        <v>30</v>
      </c>
      <c r="I754">
        <v>30</v>
      </c>
    </row>
    <row r="755" spans="1:9">
      <c r="A755">
        <v>754</v>
      </c>
      <c r="B755" s="1">
        <v>45215</v>
      </c>
      <c r="C755" t="s">
        <v>767</v>
      </c>
      <c r="D755" t="s">
        <v>13</v>
      </c>
      <c r="E755">
        <v>43</v>
      </c>
      <c r="F755" t="s">
        <v>16</v>
      </c>
      <c r="G755">
        <v>4</v>
      </c>
      <c r="H755">
        <v>25</v>
      </c>
      <c r="I755">
        <v>100</v>
      </c>
    </row>
    <row r="756" spans="1:9">
      <c r="A756">
        <v>755</v>
      </c>
      <c r="B756" s="1">
        <v>45038</v>
      </c>
      <c r="C756" t="s">
        <v>768</v>
      </c>
      <c r="D756" t="s">
        <v>13</v>
      </c>
      <c r="E756">
        <v>58</v>
      </c>
      <c r="F756" t="s">
        <v>14</v>
      </c>
      <c r="G756">
        <v>3</v>
      </c>
      <c r="H756">
        <v>25</v>
      </c>
      <c r="I756">
        <v>75</v>
      </c>
    </row>
    <row r="757" spans="1:9">
      <c r="A757">
        <v>756</v>
      </c>
      <c r="B757" s="1">
        <v>45165</v>
      </c>
      <c r="C757" t="s">
        <v>769</v>
      </c>
      <c r="D757" t="s">
        <v>13</v>
      </c>
      <c r="E757">
        <v>62</v>
      </c>
      <c r="F757" t="s">
        <v>16</v>
      </c>
      <c r="G757">
        <v>4</v>
      </c>
      <c r="H757">
        <v>300</v>
      </c>
      <c r="I757">
        <v>1200</v>
      </c>
    </row>
    <row r="758" spans="1:9">
      <c r="A758">
        <v>757</v>
      </c>
      <c r="B758" s="1">
        <v>45285</v>
      </c>
      <c r="C758" t="s">
        <v>770</v>
      </c>
      <c r="D758" t="s">
        <v>13</v>
      </c>
      <c r="E758">
        <v>43</v>
      </c>
      <c r="F758" t="s">
        <v>16</v>
      </c>
      <c r="G758">
        <v>4</v>
      </c>
      <c r="H758">
        <v>300</v>
      </c>
      <c r="I758">
        <v>1200</v>
      </c>
    </row>
    <row r="759" spans="1:9">
      <c r="A759">
        <v>758</v>
      </c>
      <c r="B759" s="1">
        <v>45058</v>
      </c>
      <c r="C759" t="s">
        <v>771</v>
      </c>
      <c r="D759" t="s">
        <v>10</v>
      </c>
      <c r="E759">
        <v>64</v>
      </c>
      <c r="F759" t="s">
        <v>14</v>
      </c>
      <c r="G759">
        <v>4</v>
      </c>
      <c r="H759">
        <v>25</v>
      </c>
      <c r="I759">
        <v>100</v>
      </c>
    </row>
    <row r="760" spans="1:9">
      <c r="A760">
        <v>759</v>
      </c>
      <c r="B760" s="1">
        <v>45115</v>
      </c>
      <c r="C760" t="s">
        <v>772</v>
      </c>
      <c r="D760" t="s">
        <v>10</v>
      </c>
      <c r="E760">
        <v>49</v>
      </c>
      <c r="F760" t="s">
        <v>16</v>
      </c>
      <c r="G760">
        <v>2</v>
      </c>
      <c r="H760">
        <v>50</v>
      </c>
      <c r="I760">
        <v>100</v>
      </c>
    </row>
    <row r="761" spans="1:9">
      <c r="A761">
        <v>760</v>
      </c>
      <c r="B761" s="1">
        <v>45012</v>
      </c>
      <c r="C761" t="s">
        <v>773</v>
      </c>
      <c r="D761" t="s">
        <v>10</v>
      </c>
      <c r="E761">
        <v>27</v>
      </c>
      <c r="F761" t="s">
        <v>11</v>
      </c>
      <c r="G761">
        <v>1</v>
      </c>
      <c r="H761">
        <v>500</v>
      </c>
      <c r="I761">
        <v>500</v>
      </c>
    </row>
    <row r="762" spans="1:9">
      <c r="A762">
        <v>761</v>
      </c>
      <c r="B762" s="1">
        <v>45237</v>
      </c>
      <c r="C762" t="s">
        <v>774</v>
      </c>
      <c r="D762" t="s">
        <v>13</v>
      </c>
      <c r="E762">
        <v>33</v>
      </c>
      <c r="F762" t="s">
        <v>14</v>
      </c>
      <c r="G762">
        <v>1</v>
      </c>
      <c r="H762">
        <v>500</v>
      </c>
      <c r="I762">
        <v>500</v>
      </c>
    </row>
    <row r="763" spans="1:9">
      <c r="A763">
        <v>762</v>
      </c>
      <c r="B763" s="1">
        <v>45237</v>
      </c>
      <c r="C763" t="s">
        <v>775</v>
      </c>
      <c r="D763" t="s">
        <v>13</v>
      </c>
      <c r="E763">
        <v>24</v>
      </c>
      <c r="F763" t="s">
        <v>16</v>
      </c>
      <c r="G763">
        <v>2</v>
      </c>
      <c r="H763">
        <v>25</v>
      </c>
      <c r="I763">
        <v>50</v>
      </c>
    </row>
    <row r="764" spans="1:9">
      <c r="A764">
        <v>763</v>
      </c>
      <c r="B764" s="1">
        <v>44985</v>
      </c>
      <c r="C764" t="s">
        <v>776</v>
      </c>
      <c r="D764" t="s">
        <v>10</v>
      </c>
      <c r="E764">
        <v>34</v>
      </c>
      <c r="F764" t="s">
        <v>14</v>
      </c>
      <c r="G764">
        <v>2</v>
      </c>
      <c r="H764">
        <v>25</v>
      </c>
      <c r="I764">
        <v>50</v>
      </c>
    </row>
    <row r="765" spans="1:9">
      <c r="A765">
        <v>764</v>
      </c>
      <c r="B765" s="1">
        <v>45010</v>
      </c>
      <c r="C765" t="s">
        <v>777</v>
      </c>
      <c r="D765" t="s">
        <v>13</v>
      </c>
      <c r="E765">
        <v>40</v>
      </c>
      <c r="F765" t="s">
        <v>14</v>
      </c>
      <c r="G765">
        <v>1</v>
      </c>
      <c r="H765">
        <v>25</v>
      </c>
      <c r="I765">
        <v>25</v>
      </c>
    </row>
    <row r="766" spans="1:9">
      <c r="A766">
        <v>765</v>
      </c>
      <c r="B766" s="1">
        <v>45086</v>
      </c>
      <c r="C766" t="s">
        <v>778</v>
      </c>
      <c r="D766" t="s">
        <v>10</v>
      </c>
      <c r="E766">
        <v>43</v>
      </c>
      <c r="F766" t="s">
        <v>14</v>
      </c>
      <c r="G766">
        <v>4</v>
      </c>
      <c r="H766">
        <v>50</v>
      </c>
      <c r="I766">
        <v>200</v>
      </c>
    </row>
    <row r="767" spans="1:9">
      <c r="A767">
        <v>766</v>
      </c>
      <c r="B767" s="1">
        <v>44982</v>
      </c>
      <c r="C767" t="s">
        <v>779</v>
      </c>
      <c r="D767" t="s">
        <v>10</v>
      </c>
      <c r="E767">
        <v>38</v>
      </c>
      <c r="F767" t="s">
        <v>16</v>
      </c>
      <c r="G767">
        <v>3</v>
      </c>
      <c r="H767">
        <v>300</v>
      </c>
      <c r="I767">
        <v>900</v>
      </c>
    </row>
    <row r="768" spans="1:9">
      <c r="A768">
        <v>767</v>
      </c>
      <c r="B768" s="1">
        <v>45223</v>
      </c>
      <c r="C768" t="s">
        <v>780</v>
      </c>
      <c r="D768" t="s">
        <v>10</v>
      </c>
      <c r="E768">
        <v>39</v>
      </c>
      <c r="F768" t="s">
        <v>11</v>
      </c>
      <c r="G768">
        <v>3</v>
      </c>
      <c r="H768">
        <v>25</v>
      </c>
      <c r="I768">
        <v>75</v>
      </c>
    </row>
    <row r="769" spans="1:9">
      <c r="A769">
        <v>768</v>
      </c>
      <c r="B769" s="1">
        <v>44940</v>
      </c>
      <c r="C769" t="s">
        <v>781</v>
      </c>
      <c r="D769" t="s">
        <v>13</v>
      </c>
      <c r="E769">
        <v>24</v>
      </c>
      <c r="F769" t="s">
        <v>11</v>
      </c>
      <c r="G769">
        <v>3</v>
      </c>
      <c r="H769">
        <v>25</v>
      </c>
      <c r="I769">
        <v>75</v>
      </c>
    </row>
    <row r="770" spans="1:9">
      <c r="A770">
        <v>769</v>
      </c>
      <c r="B770" s="1">
        <v>45086</v>
      </c>
      <c r="C770" t="s">
        <v>782</v>
      </c>
      <c r="D770" t="s">
        <v>13</v>
      </c>
      <c r="E770">
        <v>31</v>
      </c>
      <c r="F770" t="s">
        <v>16</v>
      </c>
      <c r="G770">
        <v>4</v>
      </c>
      <c r="H770">
        <v>30</v>
      </c>
      <c r="I770">
        <v>120</v>
      </c>
    </row>
    <row r="771" spans="1:9">
      <c r="A771">
        <v>770</v>
      </c>
      <c r="B771" s="1">
        <v>45221</v>
      </c>
      <c r="C771" t="s">
        <v>783</v>
      </c>
      <c r="D771" t="s">
        <v>10</v>
      </c>
      <c r="E771">
        <v>32</v>
      </c>
      <c r="F771" t="s">
        <v>14</v>
      </c>
      <c r="G771">
        <v>1</v>
      </c>
      <c r="H771">
        <v>50</v>
      </c>
      <c r="I771">
        <v>50</v>
      </c>
    </row>
    <row r="772" spans="1:9">
      <c r="A772">
        <v>771</v>
      </c>
      <c r="B772" s="1">
        <v>45273</v>
      </c>
      <c r="C772" t="s">
        <v>784</v>
      </c>
      <c r="D772" t="s">
        <v>10</v>
      </c>
      <c r="E772">
        <v>24</v>
      </c>
      <c r="F772" t="s">
        <v>16</v>
      </c>
      <c r="G772">
        <v>2</v>
      </c>
      <c r="H772">
        <v>25</v>
      </c>
      <c r="I772">
        <v>50</v>
      </c>
    </row>
    <row r="773" spans="1:9">
      <c r="A773">
        <v>772</v>
      </c>
      <c r="B773" s="1">
        <v>45119</v>
      </c>
      <c r="C773" t="s">
        <v>785</v>
      </c>
      <c r="D773" t="s">
        <v>10</v>
      </c>
      <c r="E773">
        <v>26</v>
      </c>
      <c r="F773" t="s">
        <v>16</v>
      </c>
      <c r="G773">
        <v>1</v>
      </c>
      <c r="H773">
        <v>30</v>
      </c>
      <c r="I773">
        <v>30</v>
      </c>
    </row>
    <row r="774" spans="1:9">
      <c r="A774">
        <v>773</v>
      </c>
      <c r="B774" s="1">
        <v>45130</v>
      </c>
      <c r="C774" t="s">
        <v>786</v>
      </c>
      <c r="D774" t="s">
        <v>10</v>
      </c>
      <c r="E774">
        <v>25</v>
      </c>
      <c r="F774" t="s">
        <v>16</v>
      </c>
      <c r="G774">
        <v>4</v>
      </c>
      <c r="H774">
        <v>500</v>
      </c>
      <c r="I774">
        <v>2000</v>
      </c>
    </row>
    <row r="775" spans="1:9">
      <c r="A775">
        <v>774</v>
      </c>
      <c r="B775" s="1">
        <v>45028</v>
      </c>
      <c r="C775" t="s">
        <v>787</v>
      </c>
      <c r="D775" t="s">
        <v>13</v>
      </c>
      <c r="E775">
        <v>40</v>
      </c>
      <c r="F775" t="s">
        <v>14</v>
      </c>
      <c r="G775">
        <v>2</v>
      </c>
      <c r="H775">
        <v>25</v>
      </c>
      <c r="I775">
        <v>50</v>
      </c>
    </row>
    <row r="776" spans="1:9">
      <c r="A776">
        <v>775</v>
      </c>
      <c r="B776" s="1">
        <v>44965</v>
      </c>
      <c r="C776" t="s">
        <v>788</v>
      </c>
      <c r="D776" t="s">
        <v>13</v>
      </c>
      <c r="E776">
        <v>46</v>
      </c>
      <c r="F776" t="s">
        <v>16</v>
      </c>
      <c r="G776">
        <v>4</v>
      </c>
      <c r="H776">
        <v>25</v>
      </c>
      <c r="I776">
        <v>100</v>
      </c>
    </row>
    <row r="777" spans="1:9">
      <c r="A777">
        <v>776</v>
      </c>
      <c r="B777" s="1">
        <v>45230</v>
      </c>
      <c r="C777" t="s">
        <v>789</v>
      </c>
      <c r="D777" t="s">
        <v>10</v>
      </c>
      <c r="E777">
        <v>35</v>
      </c>
      <c r="F777" t="s">
        <v>14</v>
      </c>
      <c r="G777">
        <v>3</v>
      </c>
      <c r="H777">
        <v>30</v>
      </c>
      <c r="I777">
        <v>90</v>
      </c>
    </row>
    <row r="778" spans="1:9">
      <c r="A778">
        <v>777</v>
      </c>
      <c r="B778" s="1">
        <v>45280</v>
      </c>
      <c r="C778" t="s">
        <v>790</v>
      </c>
      <c r="D778" t="s">
        <v>10</v>
      </c>
      <c r="E778">
        <v>48</v>
      </c>
      <c r="F778" t="s">
        <v>16</v>
      </c>
      <c r="G778">
        <v>3</v>
      </c>
      <c r="H778">
        <v>50</v>
      </c>
      <c r="I778">
        <v>150</v>
      </c>
    </row>
    <row r="779" spans="1:9">
      <c r="A779">
        <v>778</v>
      </c>
      <c r="B779" s="1">
        <v>45248</v>
      </c>
      <c r="C779" t="s">
        <v>791</v>
      </c>
      <c r="D779" t="s">
        <v>13</v>
      </c>
      <c r="E779">
        <v>47</v>
      </c>
      <c r="F779" t="s">
        <v>11</v>
      </c>
      <c r="G779">
        <v>4</v>
      </c>
      <c r="H779">
        <v>25</v>
      </c>
      <c r="I779">
        <v>100</v>
      </c>
    </row>
    <row r="780" spans="1:9">
      <c r="A780">
        <v>779</v>
      </c>
      <c r="B780" s="1">
        <v>45051</v>
      </c>
      <c r="C780" t="s">
        <v>792</v>
      </c>
      <c r="D780" t="s">
        <v>13</v>
      </c>
      <c r="E780">
        <v>56</v>
      </c>
      <c r="F780" t="s">
        <v>16</v>
      </c>
      <c r="G780">
        <v>2</v>
      </c>
      <c r="H780">
        <v>500</v>
      </c>
      <c r="I780">
        <v>1000</v>
      </c>
    </row>
    <row r="781" spans="1:9">
      <c r="A781">
        <v>780</v>
      </c>
      <c r="B781" s="1">
        <v>44979</v>
      </c>
      <c r="C781" t="s">
        <v>793</v>
      </c>
      <c r="D781" t="s">
        <v>10</v>
      </c>
      <c r="E781">
        <v>52</v>
      </c>
      <c r="F781" t="s">
        <v>16</v>
      </c>
      <c r="G781">
        <v>2</v>
      </c>
      <c r="H781">
        <v>25</v>
      </c>
      <c r="I781">
        <v>50</v>
      </c>
    </row>
    <row r="782" spans="1:9">
      <c r="A782">
        <v>781</v>
      </c>
      <c r="B782" s="1">
        <v>45283</v>
      </c>
      <c r="C782" t="s">
        <v>794</v>
      </c>
      <c r="D782" t="s">
        <v>10</v>
      </c>
      <c r="E782">
        <v>35</v>
      </c>
      <c r="F782" t="s">
        <v>11</v>
      </c>
      <c r="G782">
        <v>1</v>
      </c>
      <c r="H782">
        <v>500</v>
      </c>
      <c r="I782">
        <v>500</v>
      </c>
    </row>
    <row r="783" spans="1:9">
      <c r="A783">
        <v>782</v>
      </c>
      <c r="B783" s="1">
        <v>45081</v>
      </c>
      <c r="C783" t="s">
        <v>795</v>
      </c>
      <c r="D783" t="s">
        <v>10</v>
      </c>
      <c r="E783">
        <v>59</v>
      </c>
      <c r="F783" t="s">
        <v>14</v>
      </c>
      <c r="G783">
        <v>3</v>
      </c>
      <c r="H783">
        <v>300</v>
      </c>
      <c r="I783">
        <v>900</v>
      </c>
    </row>
    <row r="784" spans="1:9">
      <c r="A784">
        <v>783</v>
      </c>
      <c r="B784" s="1">
        <v>45277</v>
      </c>
      <c r="C784" t="s">
        <v>796</v>
      </c>
      <c r="D784" t="s">
        <v>13</v>
      </c>
      <c r="E784">
        <v>56</v>
      </c>
      <c r="F784" t="s">
        <v>14</v>
      </c>
      <c r="G784">
        <v>1</v>
      </c>
      <c r="H784">
        <v>300</v>
      </c>
      <c r="I784">
        <v>300</v>
      </c>
    </row>
    <row r="785" spans="1:9">
      <c r="A785">
        <v>784</v>
      </c>
      <c r="B785" s="1">
        <v>45234</v>
      </c>
      <c r="C785" t="s">
        <v>797</v>
      </c>
      <c r="D785" t="s">
        <v>13</v>
      </c>
      <c r="E785">
        <v>34</v>
      </c>
      <c r="F785" t="s">
        <v>16</v>
      </c>
      <c r="G785">
        <v>1</v>
      </c>
      <c r="H785">
        <v>500</v>
      </c>
      <c r="I785">
        <v>500</v>
      </c>
    </row>
    <row r="786" spans="1:9">
      <c r="A786">
        <v>785</v>
      </c>
      <c r="B786" s="1">
        <v>44988</v>
      </c>
      <c r="C786" t="s">
        <v>798</v>
      </c>
      <c r="D786" t="s">
        <v>13</v>
      </c>
      <c r="E786">
        <v>31</v>
      </c>
      <c r="F786" t="s">
        <v>11</v>
      </c>
      <c r="G786">
        <v>4</v>
      </c>
      <c r="H786">
        <v>50</v>
      </c>
      <c r="I786">
        <v>200</v>
      </c>
    </row>
    <row r="787" spans="1:9">
      <c r="A787">
        <v>786</v>
      </c>
      <c r="B787" s="1">
        <v>45216</v>
      </c>
      <c r="C787" t="s">
        <v>799</v>
      </c>
      <c r="D787" t="s">
        <v>10</v>
      </c>
      <c r="E787">
        <v>48</v>
      </c>
      <c r="F787" t="s">
        <v>14</v>
      </c>
      <c r="G787">
        <v>4</v>
      </c>
      <c r="H787">
        <v>25</v>
      </c>
      <c r="I787">
        <v>100</v>
      </c>
    </row>
    <row r="788" spans="1:9">
      <c r="A788">
        <v>787</v>
      </c>
      <c r="B788" s="1">
        <v>44948</v>
      </c>
      <c r="C788" t="s">
        <v>800</v>
      </c>
      <c r="D788" t="s">
        <v>10</v>
      </c>
      <c r="E788">
        <v>41</v>
      </c>
      <c r="F788" t="s">
        <v>16</v>
      </c>
      <c r="G788">
        <v>1</v>
      </c>
      <c r="H788">
        <v>25</v>
      </c>
      <c r="I788">
        <v>25</v>
      </c>
    </row>
    <row r="789" spans="1:9">
      <c r="A789">
        <v>788</v>
      </c>
      <c r="B789" s="1">
        <v>45104</v>
      </c>
      <c r="C789" t="s">
        <v>801</v>
      </c>
      <c r="D789" t="s">
        <v>13</v>
      </c>
      <c r="E789">
        <v>52</v>
      </c>
      <c r="F789" t="s">
        <v>11</v>
      </c>
      <c r="G789">
        <v>3</v>
      </c>
      <c r="H789">
        <v>300</v>
      </c>
      <c r="I789">
        <v>900</v>
      </c>
    </row>
    <row r="790" spans="1:9">
      <c r="A790">
        <v>789</v>
      </c>
      <c r="B790" s="1">
        <v>45199</v>
      </c>
      <c r="C790" t="s">
        <v>802</v>
      </c>
      <c r="D790" t="s">
        <v>13</v>
      </c>
      <c r="E790">
        <v>61</v>
      </c>
      <c r="F790" t="s">
        <v>14</v>
      </c>
      <c r="G790">
        <v>4</v>
      </c>
      <c r="H790">
        <v>500</v>
      </c>
      <c r="I790">
        <v>2000</v>
      </c>
    </row>
    <row r="791" spans="1:9">
      <c r="A791">
        <v>790</v>
      </c>
      <c r="B791" s="1">
        <v>45146</v>
      </c>
      <c r="C791" t="s">
        <v>803</v>
      </c>
      <c r="D791" t="s">
        <v>10</v>
      </c>
      <c r="E791">
        <v>62</v>
      </c>
      <c r="F791" t="s">
        <v>14</v>
      </c>
      <c r="G791">
        <v>1</v>
      </c>
      <c r="H791">
        <v>25</v>
      </c>
      <c r="I791">
        <v>25</v>
      </c>
    </row>
    <row r="792" spans="1:9">
      <c r="A792">
        <v>791</v>
      </c>
      <c r="B792" s="1">
        <v>45265</v>
      </c>
      <c r="C792" t="s">
        <v>804</v>
      </c>
      <c r="D792" t="s">
        <v>13</v>
      </c>
      <c r="E792">
        <v>51</v>
      </c>
      <c r="F792" t="s">
        <v>11</v>
      </c>
      <c r="G792">
        <v>1</v>
      </c>
      <c r="H792">
        <v>25</v>
      </c>
      <c r="I792">
        <v>25</v>
      </c>
    </row>
    <row r="793" spans="1:9">
      <c r="A793">
        <v>792</v>
      </c>
      <c r="B793" s="1">
        <v>45116</v>
      </c>
      <c r="C793" t="s">
        <v>805</v>
      </c>
      <c r="D793" t="s">
        <v>13</v>
      </c>
      <c r="E793">
        <v>20</v>
      </c>
      <c r="F793" t="s">
        <v>11</v>
      </c>
      <c r="G793">
        <v>1</v>
      </c>
      <c r="H793">
        <v>50</v>
      </c>
      <c r="I793">
        <v>50</v>
      </c>
    </row>
    <row r="794" spans="1:9">
      <c r="A794">
        <v>793</v>
      </c>
      <c r="B794" s="1">
        <v>44962</v>
      </c>
      <c r="C794" t="s">
        <v>806</v>
      </c>
      <c r="D794" t="s">
        <v>10</v>
      </c>
      <c r="E794">
        <v>54</v>
      </c>
      <c r="F794" t="s">
        <v>11</v>
      </c>
      <c r="G794">
        <v>1</v>
      </c>
      <c r="H794">
        <v>30</v>
      </c>
      <c r="I794">
        <v>30</v>
      </c>
    </row>
    <row r="795" spans="1:9">
      <c r="A795">
        <v>794</v>
      </c>
      <c r="B795" s="1">
        <v>45186</v>
      </c>
      <c r="C795" t="s">
        <v>807</v>
      </c>
      <c r="D795" t="s">
        <v>13</v>
      </c>
      <c r="E795">
        <v>60</v>
      </c>
      <c r="F795" t="s">
        <v>11</v>
      </c>
      <c r="G795">
        <v>1</v>
      </c>
      <c r="H795">
        <v>300</v>
      </c>
      <c r="I795">
        <v>300</v>
      </c>
    </row>
    <row r="796" spans="1:9">
      <c r="A796">
        <v>795</v>
      </c>
      <c r="B796" s="1">
        <v>45258</v>
      </c>
      <c r="C796" t="s">
        <v>808</v>
      </c>
      <c r="D796" t="s">
        <v>10</v>
      </c>
      <c r="E796">
        <v>57</v>
      </c>
      <c r="F796" t="s">
        <v>16</v>
      </c>
      <c r="G796">
        <v>1</v>
      </c>
      <c r="H796">
        <v>300</v>
      </c>
      <c r="I796">
        <v>300</v>
      </c>
    </row>
    <row r="797" spans="1:9">
      <c r="A797">
        <v>796</v>
      </c>
      <c r="B797" s="1">
        <v>45101</v>
      </c>
      <c r="C797" t="s">
        <v>809</v>
      </c>
      <c r="D797" t="s">
        <v>10</v>
      </c>
      <c r="E797">
        <v>43</v>
      </c>
      <c r="F797" t="s">
        <v>11</v>
      </c>
      <c r="G797">
        <v>4</v>
      </c>
      <c r="H797">
        <v>30</v>
      </c>
      <c r="I797">
        <v>120</v>
      </c>
    </row>
    <row r="798" spans="1:9">
      <c r="A798">
        <v>797</v>
      </c>
      <c r="B798" s="1">
        <v>44933</v>
      </c>
      <c r="C798" t="s">
        <v>810</v>
      </c>
      <c r="D798" t="s">
        <v>10</v>
      </c>
      <c r="E798">
        <v>40</v>
      </c>
      <c r="F798" t="s">
        <v>14</v>
      </c>
      <c r="G798">
        <v>3</v>
      </c>
      <c r="H798">
        <v>25</v>
      </c>
      <c r="I798">
        <v>75</v>
      </c>
    </row>
    <row r="799" spans="1:9">
      <c r="A799">
        <v>798</v>
      </c>
      <c r="B799" s="1">
        <v>45142</v>
      </c>
      <c r="C799" t="s">
        <v>811</v>
      </c>
      <c r="D799" t="s">
        <v>10</v>
      </c>
      <c r="E799">
        <v>61</v>
      </c>
      <c r="F799" t="s">
        <v>14</v>
      </c>
      <c r="G799">
        <v>1</v>
      </c>
      <c r="H799">
        <v>50</v>
      </c>
      <c r="I799">
        <v>50</v>
      </c>
    </row>
    <row r="800" spans="1:9">
      <c r="A800">
        <v>799</v>
      </c>
      <c r="B800" s="1">
        <v>45177</v>
      </c>
      <c r="C800" t="s">
        <v>812</v>
      </c>
      <c r="D800" t="s">
        <v>10</v>
      </c>
      <c r="E800">
        <v>56</v>
      </c>
      <c r="F800" t="s">
        <v>16</v>
      </c>
      <c r="G800">
        <v>2</v>
      </c>
      <c r="H800">
        <v>50</v>
      </c>
      <c r="I800">
        <v>100</v>
      </c>
    </row>
    <row r="801" spans="1:9">
      <c r="A801">
        <v>800</v>
      </c>
      <c r="B801" s="1">
        <v>44981</v>
      </c>
      <c r="C801" t="s">
        <v>813</v>
      </c>
      <c r="D801" t="s">
        <v>10</v>
      </c>
      <c r="E801">
        <v>32</v>
      </c>
      <c r="F801" t="s">
        <v>14</v>
      </c>
      <c r="G801">
        <v>4</v>
      </c>
      <c r="H801">
        <v>300</v>
      </c>
      <c r="I801">
        <v>1200</v>
      </c>
    </row>
    <row r="802" spans="1:9">
      <c r="A802">
        <v>801</v>
      </c>
      <c r="B802" s="1">
        <v>45148</v>
      </c>
      <c r="C802" t="s">
        <v>814</v>
      </c>
      <c r="D802" t="s">
        <v>10</v>
      </c>
      <c r="E802">
        <v>21</v>
      </c>
      <c r="F802" t="s">
        <v>14</v>
      </c>
      <c r="G802">
        <v>4</v>
      </c>
      <c r="H802">
        <v>50</v>
      </c>
      <c r="I802">
        <v>200</v>
      </c>
    </row>
    <row r="803" spans="1:9">
      <c r="A803">
        <v>802</v>
      </c>
      <c r="B803" s="1">
        <v>45112</v>
      </c>
      <c r="C803" t="s">
        <v>815</v>
      </c>
      <c r="D803" t="s">
        <v>13</v>
      </c>
      <c r="E803">
        <v>46</v>
      </c>
      <c r="F803" t="s">
        <v>11</v>
      </c>
      <c r="G803">
        <v>1</v>
      </c>
      <c r="H803">
        <v>30</v>
      </c>
      <c r="I803">
        <v>30</v>
      </c>
    </row>
    <row r="804" spans="1:9">
      <c r="A804">
        <v>803</v>
      </c>
      <c r="B804" s="1">
        <v>45252</v>
      </c>
      <c r="C804" t="s">
        <v>816</v>
      </c>
      <c r="D804" t="s">
        <v>10</v>
      </c>
      <c r="E804">
        <v>39</v>
      </c>
      <c r="F804" t="s">
        <v>14</v>
      </c>
      <c r="G804">
        <v>4</v>
      </c>
      <c r="H804">
        <v>25</v>
      </c>
      <c r="I804">
        <v>100</v>
      </c>
    </row>
    <row r="805" spans="1:9">
      <c r="A805">
        <v>804</v>
      </c>
      <c r="B805" s="1">
        <v>45162</v>
      </c>
      <c r="C805" t="s">
        <v>817</v>
      </c>
      <c r="D805" t="s">
        <v>10</v>
      </c>
      <c r="E805">
        <v>42</v>
      </c>
      <c r="F805" t="s">
        <v>16</v>
      </c>
      <c r="G805">
        <v>1</v>
      </c>
      <c r="H805">
        <v>30</v>
      </c>
      <c r="I805">
        <v>30</v>
      </c>
    </row>
    <row r="806" spans="1:9">
      <c r="A806">
        <v>805</v>
      </c>
      <c r="B806" s="1">
        <v>45289</v>
      </c>
      <c r="C806" t="s">
        <v>818</v>
      </c>
      <c r="D806" t="s">
        <v>13</v>
      </c>
      <c r="E806">
        <v>30</v>
      </c>
      <c r="F806" t="s">
        <v>11</v>
      </c>
      <c r="G806">
        <v>3</v>
      </c>
      <c r="H806">
        <v>500</v>
      </c>
      <c r="I806">
        <v>1500</v>
      </c>
    </row>
    <row r="807" spans="1:9">
      <c r="A807">
        <v>806</v>
      </c>
      <c r="B807" s="1">
        <v>45005</v>
      </c>
      <c r="C807" t="s">
        <v>819</v>
      </c>
      <c r="D807" t="s">
        <v>13</v>
      </c>
      <c r="E807">
        <v>35</v>
      </c>
      <c r="F807" t="s">
        <v>11</v>
      </c>
      <c r="G807">
        <v>3</v>
      </c>
      <c r="H807">
        <v>300</v>
      </c>
      <c r="I807">
        <v>900</v>
      </c>
    </row>
    <row r="808" spans="1:9">
      <c r="A808">
        <v>807</v>
      </c>
      <c r="B808" s="1">
        <v>45149</v>
      </c>
      <c r="C808" t="s">
        <v>820</v>
      </c>
      <c r="D808" t="s">
        <v>13</v>
      </c>
      <c r="E808">
        <v>50</v>
      </c>
      <c r="F808" t="s">
        <v>16</v>
      </c>
      <c r="G808">
        <v>4</v>
      </c>
      <c r="H808">
        <v>50</v>
      </c>
      <c r="I808">
        <v>200</v>
      </c>
    </row>
    <row r="809" spans="1:9">
      <c r="A809">
        <v>808</v>
      </c>
      <c r="B809" s="1">
        <v>45017</v>
      </c>
      <c r="C809" t="s">
        <v>821</v>
      </c>
      <c r="D809" t="s">
        <v>10</v>
      </c>
      <c r="E809">
        <v>33</v>
      </c>
      <c r="F809" t="s">
        <v>11</v>
      </c>
      <c r="G809">
        <v>4</v>
      </c>
      <c r="H809">
        <v>500</v>
      </c>
      <c r="I809">
        <v>2000</v>
      </c>
    </row>
    <row r="810" spans="1:9">
      <c r="A810">
        <v>809</v>
      </c>
      <c r="B810" s="1">
        <v>45194</v>
      </c>
      <c r="C810" t="s">
        <v>822</v>
      </c>
      <c r="D810" t="s">
        <v>13</v>
      </c>
      <c r="E810">
        <v>62</v>
      </c>
      <c r="F810" t="s">
        <v>11</v>
      </c>
      <c r="G810">
        <v>2</v>
      </c>
      <c r="H810">
        <v>50</v>
      </c>
      <c r="I810">
        <v>100</v>
      </c>
    </row>
    <row r="811" spans="1:9">
      <c r="A811">
        <v>810</v>
      </c>
      <c r="B811" s="1">
        <v>45260</v>
      </c>
      <c r="C811" t="s">
        <v>823</v>
      </c>
      <c r="D811" t="s">
        <v>10</v>
      </c>
      <c r="E811">
        <v>59</v>
      </c>
      <c r="F811" t="s">
        <v>16</v>
      </c>
      <c r="G811">
        <v>4</v>
      </c>
      <c r="H811">
        <v>25</v>
      </c>
      <c r="I811">
        <v>100</v>
      </c>
    </row>
    <row r="812" spans="1:9">
      <c r="A812">
        <v>811</v>
      </c>
      <c r="B812" s="1">
        <v>45065</v>
      </c>
      <c r="C812" t="s">
        <v>824</v>
      </c>
      <c r="D812" t="s">
        <v>10</v>
      </c>
      <c r="E812">
        <v>61</v>
      </c>
      <c r="F812" t="s">
        <v>11</v>
      </c>
      <c r="G812">
        <v>2</v>
      </c>
      <c r="H812">
        <v>25</v>
      </c>
      <c r="I812">
        <v>50</v>
      </c>
    </row>
    <row r="813" spans="1:9">
      <c r="A813">
        <v>812</v>
      </c>
      <c r="B813" s="1">
        <v>45242</v>
      </c>
      <c r="C813" t="s">
        <v>825</v>
      </c>
      <c r="D813" t="s">
        <v>10</v>
      </c>
      <c r="E813">
        <v>19</v>
      </c>
      <c r="F813" t="s">
        <v>16</v>
      </c>
      <c r="G813">
        <v>3</v>
      </c>
      <c r="H813">
        <v>25</v>
      </c>
      <c r="I813">
        <v>75</v>
      </c>
    </row>
    <row r="814" spans="1:9">
      <c r="A814">
        <v>813</v>
      </c>
      <c r="B814" s="1">
        <v>45202</v>
      </c>
      <c r="C814" t="s">
        <v>826</v>
      </c>
      <c r="D814" t="s">
        <v>10</v>
      </c>
      <c r="E814">
        <v>52</v>
      </c>
      <c r="F814" t="s">
        <v>16</v>
      </c>
      <c r="G814">
        <v>3</v>
      </c>
      <c r="H814">
        <v>50</v>
      </c>
      <c r="I814">
        <v>150</v>
      </c>
    </row>
    <row r="815" spans="1:9">
      <c r="A815">
        <v>814</v>
      </c>
      <c r="B815" s="1">
        <v>45174</v>
      </c>
      <c r="C815" t="s">
        <v>827</v>
      </c>
      <c r="D815" t="s">
        <v>13</v>
      </c>
      <c r="E815">
        <v>59</v>
      </c>
      <c r="F815" t="s">
        <v>14</v>
      </c>
      <c r="G815">
        <v>1</v>
      </c>
      <c r="H815">
        <v>500</v>
      </c>
      <c r="I815">
        <v>500</v>
      </c>
    </row>
    <row r="816" spans="1:9">
      <c r="A816">
        <v>815</v>
      </c>
      <c r="B816" s="1">
        <v>45165</v>
      </c>
      <c r="C816" t="s">
        <v>828</v>
      </c>
      <c r="D816" t="s">
        <v>13</v>
      </c>
      <c r="E816">
        <v>51</v>
      </c>
      <c r="F816" t="s">
        <v>14</v>
      </c>
      <c r="G816">
        <v>3</v>
      </c>
      <c r="H816">
        <v>25</v>
      </c>
      <c r="I816">
        <v>75</v>
      </c>
    </row>
    <row r="817" spans="1:9">
      <c r="A817">
        <v>816</v>
      </c>
      <c r="B817" s="1">
        <v>45150</v>
      </c>
      <c r="C817" t="s">
        <v>829</v>
      </c>
      <c r="D817" t="s">
        <v>10</v>
      </c>
      <c r="E817">
        <v>47</v>
      </c>
      <c r="F817" t="s">
        <v>11</v>
      </c>
      <c r="G817">
        <v>2</v>
      </c>
      <c r="H817">
        <v>500</v>
      </c>
      <c r="I817">
        <v>1000</v>
      </c>
    </row>
    <row r="818" spans="1:9">
      <c r="A818">
        <v>817</v>
      </c>
      <c r="B818" s="1">
        <v>45230</v>
      </c>
      <c r="C818" t="s">
        <v>830</v>
      </c>
      <c r="D818" t="s">
        <v>10</v>
      </c>
      <c r="E818">
        <v>30</v>
      </c>
      <c r="F818" t="s">
        <v>11</v>
      </c>
      <c r="G818">
        <v>4</v>
      </c>
      <c r="H818">
        <v>50</v>
      </c>
      <c r="I818">
        <v>200</v>
      </c>
    </row>
    <row r="819" spans="1:9">
      <c r="A819">
        <v>818</v>
      </c>
      <c r="B819" s="1">
        <v>45064</v>
      </c>
      <c r="C819" t="s">
        <v>831</v>
      </c>
      <c r="D819" t="s">
        <v>10</v>
      </c>
      <c r="E819">
        <v>30</v>
      </c>
      <c r="F819" t="s">
        <v>16</v>
      </c>
      <c r="G819">
        <v>1</v>
      </c>
      <c r="H819">
        <v>500</v>
      </c>
      <c r="I819">
        <v>500</v>
      </c>
    </row>
    <row r="820" spans="1:9">
      <c r="A820">
        <v>819</v>
      </c>
      <c r="B820" s="1">
        <v>45092</v>
      </c>
      <c r="C820" t="s">
        <v>832</v>
      </c>
      <c r="D820" t="s">
        <v>13</v>
      </c>
      <c r="E820">
        <v>35</v>
      </c>
      <c r="F820" t="s">
        <v>11</v>
      </c>
      <c r="G820">
        <v>2</v>
      </c>
      <c r="H820">
        <v>50</v>
      </c>
      <c r="I820">
        <v>100</v>
      </c>
    </row>
    <row r="821" spans="1:9">
      <c r="A821">
        <v>820</v>
      </c>
      <c r="B821" s="1">
        <v>45052</v>
      </c>
      <c r="C821" t="s">
        <v>833</v>
      </c>
      <c r="D821" t="s">
        <v>10</v>
      </c>
      <c r="E821">
        <v>49</v>
      </c>
      <c r="F821" t="s">
        <v>16</v>
      </c>
      <c r="G821">
        <v>4</v>
      </c>
      <c r="H821">
        <v>50</v>
      </c>
      <c r="I821">
        <v>200</v>
      </c>
    </row>
    <row r="822" spans="1:9">
      <c r="A822">
        <v>821</v>
      </c>
      <c r="B822" s="1">
        <v>44971</v>
      </c>
      <c r="C822" t="s">
        <v>834</v>
      </c>
      <c r="D822" t="s">
        <v>10</v>
      </c>
      <c r="E822">
        <v>49</v>
      </c>
      <c r="F822" t="s">
        <v>16</v>
      </c>
      <c r="G822">
        <v>1</v>
      </c>
      <c r="H822">
        <v>300</v>
      </c>
      <c r="I822">
        <v>300</v>
      </c>
    </row>
    <row r="823" spans="1:9">
      <c r="A823">
        <v>822</v>
      </c>
      <c r="B823" s="1">
        <v>45069</v>
      </c>
      <c r="C823" t="s">
        <v>835</v>
      </c>
      <c r="D823" t="s">
        <v>13</v>
      </c>
      <c r="E823">
        <v>52</v>
      </c>
      <c r="F823" t="s">
        <v>11</v>
      </c>
      <c r="G823">
        <v>3</v>
      </c>
      <c r="H823">
        <v>50</v>
      </c>
      <c r="I823">
        <v>150</v>
      </c>
    </row>
    <row r="824" spans="1:9">
      <c r="A824">
        <v>823</v>
      </c>
      <c r="B824" s="1">
        <v>45157</v>
      </c>
      <c r="C824" t="s">
        <v>836</v>
      </c>
      <c r="D824" t="s">
        <v>13</v>
      </c>
      <c r="E824">
        <v>56</v>
      </c>
      <c r="F824" t="s">
        <v>16</v>
      </c>
      <c r="G824">
        <v>2</v>
      </c>
      <c r="H824">
        <v>50</v>
      </c>
      <c r="I824">
        <v>100</v>
      </c>
    </row>
    <row r="825" spans="1:9">
      <c r="A825">
        <v>824</v>
      </c>
      <c r="B825" s="1">
        <v>45051</v>
      </c>
      <c r="C825" t="s">
        <v>837</v>
      </c>
      <c r="D825" t="s">
        <v>10</v>
      </c>
      <c r="E825">
        <v>63</v>
      </c>
      <c r="F825" t="s">
        <v>14</v>
      </c>
      <c r="G825">
        <v>4</v>
      </c>
      <c r="H825">
        <v>30</v>
      </c>
      <c r="I825">
        <v>120</v>
      </c>
    </row>
    <row r="826" spans="1:9">
      <c r="A826">
        <v>825</v>
      </c>
      <c r="B826" s="1">
        <v>45164</v>
      </c>
      <c r="C826" t="s">
        <v>838</v>
      </c>
      <c r="D826" t="s">
        <v>13</v>
      </c>
      <c r="E826">
        <v>46</v>
      </c>
      <c r="F826" t="s">
        <v>11</v>
      </c>
      <c r="G826">
        <v>1</v>
      </c>
      <c r="H826">
        <v>25</v>
      </c>
      <c r="I826">
        <v>25</v>
      </c>
    </row>
    <row r="827" spans="1:9">
      <c r="A827">
        <v>826</v>
      </c>
      <c r="B827" s="1">
        <v>45218</v>
      </c>
      <c r="C827" t="s">
        <v>839</v>
      </c>
      <c r="D827" t="s">
        <v>13</v>
      </c>
      <c r="E827">
        <v>46</v>
      </c>
      <c r="F827" t="s">
        <v>14</v>
      </c>
      <c r="G827">
        <v>1</v>
      </c>
      <c r="H827">
        <v>300</v>
      </c>
      <c r="I827">
        <v>300</v>
      </c>
    </row>
    <row r="828" spans="1:9">
      <c r="A828">
        <v>827</v>
      </c>
      <c r="B828" s="1">
        <v>45239</v>
      </c>
      <c r="C828" t="s">
        <v>840</v>
      </c>
      <c r="D828" t="s">
        <v>10</v>
      </c>
      <c r="E828">
        <v>61</v>
      </c>
      <c r="F828" t="s">
        <v>11</v>
      </c>
      <c r="G828">
        <v>3</v>
      </c>
      <c r="H828">
        <v>300</v>
      </c>
      <c r="I828">
        <v>900</v>
      </c>
    </row>
    <row r="829" spans="1:9">
      <c r="A829">
        <v>828</v>
      </c>
      <c r="B829" s="1">
        <v>45269</v>
      </c>
      <c r="C829" t="s">
        <v>841</v>
      </c>
      <c r="D829" t="s">
        <v>13</v>
      </c>
      <c r="E829">
        <v>33</v>
      </c>
      <c r="F829" t="s">
        <v>16</v>
      </c>
      <c r="G829">
        <v>4</v>
      </c>
      <c r="H829">
        <v>300</v>
      </c>
      <c r="I829">
        <v>1200</v>
      </c>
    </row>
    <row r="830" spans="1:9">
      <c r="A830">
        <v>829</v>
      </c>
      <c r="B830" s="1">
        <v>45121</v>
      </c>
      <c r="C830" t="s">
        <v>842</v>
      </c>
      <c r="D830" t="s">
        <v>10</v>
      </c>
      <c r="E830">
        <v>61</v>
      </c>
      <c r="F830" t="s">
        <v>11</v>
      </c>
      <c r="G830">
        <v>3</v>
      </c>
      <c r="H830">
        <v>30</v>
      </c>
      <c r="I830">
        <v>90</v>
      </c>
    </row>
    <row r="831" spans="1:9">
      <c r="A831">
        <v>830</v>
      </c>
      <c r="B831" s="1">
        <v>45099</v>
      </c>
      <c r="C831" t="s">
        <v>843</v>
      </c>
      <c r="D831" t="s">
        <v>13</v>
      </c>
      <c r="E831">
        <v>64</v>
      </c>
      <c r="F831" t="s">
        <v>14</v>
      </c>
      <c r="G831">
        <v>3</v>
      </c>
      <c r="H831">
        <v>50</v>
      </c>
      <c r="I831">
        <v>150</v>
      </c>
    </row>
    <row r="832" spans="1:9">
      <c r="A832">
        <v>831</v>
      </c>
      <c r="B832" s="1">
        <v>44941</v>
      </c>
      <c r="C832" t="s">
        <v>844</v>
      </c>
      <c r="D832" t="s">
        <v>10</v>
      </c>
      <c r="E832">
        <v>27</v>
      </c>
      <c r="F832" t="s">
        <v>16</v>
      </c>
      <c r="G832">
        <v>4</v>
      </c>
      <c r="H832">
        <v>25</v>
      </c>
      <c r="I832">
        <v>100</v>
      </c>
    </row>
    <row r="833" spans="1:9">
      <c r="A833">
        <v>832</v>
      </c>
      <c r="B833" s="1">
        <v>45180</v>
      </c>
      <c r="C833" t="s">
        <v>845</v>
      </c>
      <c r="D833" t="s">
        <v>10</v>
      </c>
      <c r="E833">
        <v>47</v>
      </c>
      <c r="F833" t="s">
        <v>11</v>
      </c>
      <c r="G833">
        <v>4</v>
      </c>
      <c r="H833">
        <v>500</v>
      </c>
      <c r="I833">
        <v>2000</v>
      </c>
    </row>
    <row r="834" spans="1:9">
      <c r="A834">
        <v>833</v>
      </c>
      <c r="B834" s="1">
        <v>45093</v>
      </c>
      <c r="C834" t="s">
        <v>846</v>
      </c>
      <c r="D834" t="s">
        <v>10</v>
      </c>
      <c r="E834">
        <v>42</v>
      </c>
      <c r="F834" t="s">
        <v>11</v>
      </c>
      <c r="G834">
        <v>4</v>
      </c>
      <c r="H834">
        <v>50</v>
      </c>
      <c r="I834">
        <v>200</v>
      </c>
    </row>
    <row r="835" spans="1:9">
      <c r="A835">
        <v>834</v>
      </c>
      <c r="B835" s="1">
        <v>45020</v>
      </c>
      <c r="C835" t="s">
        <v>847</v>
      </c>
      <c r="D835" t="s">
        <v>13</v>
      </c>
      <c r="E835">
        <v>56</v>
      </c>
      <c r="F835" t="s">
        <v>11</v>
      </c>
      <c r="G835">
        <v>2</v>
      </c>
      <c r="H835">
        <v>30</v>
      </c>
      <c r="I835">
        <v>60</v>
      </c>
    </row>
    <row r="836" spans="1:9">
      <c r="A836">
        <v>835</v>
      </c>
      <c r="B836" s="1">
        <v>45176</v>
      </c>
      <c r="C836" t="s">
        <v>848</v>
      </c>
      <c r="D836" t="s">
        <v>10</v>
      </c>
      <c r="E836">
        <v>37</v>
      </c>
      <c r="F836" t="s">
        <v>14</v>
      </c>
      <c r="G836">
        <v>4</v>
      </c>
      <c r="H836">
        <v>50</v>
      </c>
      <c r="I836">
        <v>200</v>
      </c>
    </row>
    <row r="837" spans="1:9">
      <c r="A837">
        <v>836</v>
      </c>
      <c r="B837" s="1">
        <v>45035</v>
      </c>
      <c r="C837" t="s">
        <v>849</v>
      </c>
      <c r="D837" t="s">
        <v>13</v>
      </c>
      <c r="E837">
        <v>22</v>
      </c>
      <c r="F837" t="s">
        <v>14</v>
      </c>
      <c r="G837">
        <v>1</v>
      </c>
      <c r="H837">
        <v>50</v>
      </c>
      <c r="I837">
        <v>50</v>
      </c>
    </row>
    <row r="838" spans="1:9">
      <c r="A838">
        <v>837</v>
      </c>
      <c r="B838" s="1">
        <v>45108</v>
      </c>
      <c r="C838" t="s">
        <v>850</v>
      </c>
      <c r="D838" t="s">
        <v>10</v>
      </c>
      <c r="E838">
        <v>18</v>
      </c>
      <c r="F838" t="s">
        <v>11</v>
      </c>
      <c r="G838">
        <v>3</v>
      </c>
      <c r="H838">
        <v>30</v>
      </c>
      <c r="I838">
        <v>90</v>
      </c>
    </row>
    <row r="839" spans="1:9">
      <c r="A839">
        <v>838</v>
      </c>
      <c r="B839" s="1">
        <v>45059</v>
      </c>
      <c r="C839" t="s">
        <v>851</v>
      </c>
      <c r="D839" t="s">
        <v>10</v>
      </c>
      <c r="E839">
        <v>47</v>
      </c>
      <c r="F839" t="s">
        <v>16</v>
      </c>
      <c r="G839">
        <v>2</v>
      </c>
      <c r="H839">
        <v>300</v>
      </c>
      <c r="I839">
        <v>600</v>
      </c>
    </row>
    <row r="840" spans="1:9">
      <c r="A840">
        <v>839</v>
      </c>
      <c r="B840" s="1">
        <v>45101</v>
      </c>
      <c r="C840" t="s">
        <v>852</v>
      </c>
      <c r="D840" t="s">
        <v>13</v>
      </c>
      <c r="E840">
        <v>20</v>
      </c>
      <c r="F840" t="s">
        <v>16</v>
      </c>
      <c r="G840">
        <v>4</v>
      </c>
      <c r="H840">
        <v>300</v>
      </c>
      <c r="I840">
        <v>1200</v>
      </c>
    </row>
    <row r="841" spans="1:9">
      <c r="A841">
        <v>840</v>
      </c>
      <c r="B841" s="1">
        <v>45070</v>
      </c>
      <c r="C841" t="s">
        <v>853</v>
      </c>
      <c r="D841" t="s">
        <v>10</v>
      </c>
      <c r="E841">
        <v>62</v>
      </c>
      <c r="F841" t="s">
        <v>14</v>
      </c>
      <c r="G841">
        <v>2</v>
      </c>
      <c r="H841">
        <v>25</v>
      </c>
      <c r="I841">
        <v>50</v>
      </c>
    </row>
    <row r="842" spans="1:9">
      <c r="A842">
        <v>841</v>
      </c>
      <c r="B842" s="1">
        <v>45232</v>
      </c>
      <c r="C842" t="s">
        <v>854</v>
      </c>
      <c r="D842" t="s">
        <v>10</v>
      </c>
      <c r="E842">
        <v>31</v>
      </c>
      <c r="F842" t="s">
        <v>16</v>
      </c>
      <c r="G842">
        <v>4</v>
      </c>
      <c r="H842">
        <v>25</v>
      </c>
      <c r="I842">
        <v>100</v>
      </c>
    </row>
    <row r="843" spans="1:9">
      <c r="A843">
        <v>842</v>
      </c>
      <c r="B843" s="1">
        <v>45286</v>
      </c>
      <c r="C843" t="s">
        <v>855</v>
      </c>
      <c r="D843" t="s">
        <v>13</v>
      </c>
      <c r="E843">
        <v>47</v>
      </c>
      <c r="F843" t="s">
        <v>14</v>
      </c>
      <c r="G843">
        <v>2</v>
      </c>
      <c r="H843">
        <v>300</v>
      </c>
      <c r="I843">
        <v>600</v>
      </c>
    </row>
    <row r="844" spans="1:9">
      <c r="A844">
        <v>843</v>
      </c>
      <c r="B844" s="1">
        <v>45068</v>
      </c>
      <c r="C844" t="s">
        <v>856</v>
      </c>
      <c r="D844" t="s">
        <v>10</v>
      </c>
      <c r="E844">
        <v>21</v>
      </c>
      <c r="F844" t="s">
        <v>11</v>
      </c>
      <c r="G844">
        <v>3</v>
      </c>
      <c r="H844">
        <v>500</v>
      </c>
      <c r="I844">
        <v>1500</v>
      </c>
    </row>
    <row r="845" spans="1:9">
      <c r="A845">
        <v>844</v>
      </c>
      <c r="B845" s="1">
        <v>45211</v>
      </c>
      <c r="C845" t="s">
        <v>857</v>
      </c>
      <c r="D845" t="s">
        <v>10</v>
      </c>
      <c r="E845">
        <v>35</v>
      </c>
      <c r="F845" t="s">
        <v>14</v>
      </c>
      <c r="G845">
        <v>3</v>
      </c>
      <c r="H845">
        <v>50</v>
      </c>
      <c r="I845">
        <v>150</v>
      </c>
    </row>
    <row r="846" spans="1:9">
      <c r="A846">
        <v>845</v>
      </c>
      <c r="B846" s="1">
        <v>44932</v>
      </c>
      <c r="C846" t="s">
        <v>858</v>
      </c>
      <c r="D846" t="s">
        <v>10</v>
      </c>
      <c r="E846">
        <v>54</v>
      </c>
      <c r="F846" t="s">
        <v>14</v>
      </c>
      <c r="G846">
        <v>1</v>
      </c>
      <c r="H846">
        <v>500</v>
      </c>
      <c r="I846">
        <v>500</v>
      </c>
    </row>
    <row r="847" spans="1:9">
      <c r="A847">
        <v>846</v>
      </c>
      <c r="B847" s="1">
        <v>45191</v>
      </c>
      <c r="C847" t="s">
        <v>859</v>
      </c>
      <c r="D847" t="s">
        <v>10</v>
      </c>
      <c r="E847">
        <v>42</v>
      </c>
      <c r="F847" t="s">
        <v>11</v>
      </c>
      <c r="G847">
        <v>1</v>
      </c>
      <c r="H847">
        <v>50</v>
      </c>
      <c r="I847">
        <v>50</v>
      </c>
    </row>
    <row r="848" spans="1:9">
      <c r="A848">
        <v>847</v>
      </c>
      <c r="B848" s="1">
        <v>45024</v>
      </c>
      <c r="C848" t="s">
        <v>860</v>
      </c>
      <c r="D848" t="s">
        <v>13</v>
      </c>
      <c r="E848">
        <v>18</v>
      </c>
      <c r="F848" t="s">
        <v>16</v>
      </c>
      <c r="G848">
        <v>4</v>
      </c>
      <c r="H848">
        <v>300</v>
      </c>
      <c r="I848">
        <v>1200</v>
      </c>
    </row>
    <row r="849" spans="1:9">
      <c r="A849">
        <v>848</v>
      </c>
      <c r="B849" s="1">
        <v>44970</v>
      </c>
      <c r="C849" t="s">
        <v>861</v>
      </c>
      <c r="D849" t="s">
        <v>13</v>
      </c>
      <c r="E849">
        <v>63</v>
      </c>
      <c r="F849" t="s">
        <v>14</v>
      </c>
      <c r="G849">
        <v>3</v>
      </c>
      <c r="H849">
        <v>25</v>
      </c>
      <c r="I849">
        <v>75</v>
      </c>
    </row>
    <row r="850" spans="1:9">
      <c r="A850">
        <v>849</v>
      </c>
      <c r="B850" s="1">
        <v>45050</v>
      </c>
      <c r="C850" t="s">
        <v>862</v>
      </c>
      <c r="D850" t="s">
        <v>10</v>
      </c>
      <c r="E850">
        <v>32</v>
      </c>
      <c r="F850" t="s">
        <v>14</v>
      </c>
      <c r="G850">
        <v>2</v>
      </c>
      <c r="H850">
        <v>25</v>
      </c>
      <c r="I850">
        <v>50</v>
      </c>
    </row>
    <row r="851" spans="1:9">
      <c r="A851">
        <v>850</v>
      </c>
      <c r="B851" s="1">
        <v>45135</v>
      </c>
      <c r="C851" t="s">
        <v>863</v>
      </c>
      <c r="D851" t="s">
        <v>13</v>
      </c>
      <c r="E851">
        <v>26</v>
      </c>
      <c r="F851" t="s">
        <v>11</v>
      </c>
      <c r="G851">
        <v>2</v>
      </c>
      <c r="H851">
        <v>500</v>
      </c>
      <c r="I851">
        <v>1000</v>
      </c>
    </row>
    <row r="852" spans="1:9">
      <c r="A852">
        <v>851</v>
      </c>
      <c r="B852" s="1">
        <v>45177</v>
      </c>
      <c r="C852" t="s">
        <v>864</v>
      </c>
      <c r="D852" t="s">
        <v>10</v>
      </c>
      <c r="E852">
        <v>32</v>
      </c>
      <c r="F852" t="s">
        <v>16</v>
      </c>
      <c r="G852">
        <v>2</v>
      </c>
      <c r="H852">
        <v>25</v>
      </c>
      <c r="I852">
        <v>50</v>
      </c>
    </row>
    <row r="853" spans="1:9">
      <c r="A853">
        <v>852</v>
      </c>
      <c r="B853" s="1">
        <v>45211</v>
      </c>
      <c r="C853" t="s">
        <v>865</v>
      </c>
      <c r="D853" t="s">
        <v>13</v>
      </c>
      <c r="E853">
        <v>41</v>
      </c>
      <c r="F853" t="s">
        <v>14</v>
      </c>
      <c r="G853">
        <v>1</v>
      </c>
      <c r="H853">
        <v>300</v>
      </c>
      <c r="I853">
        <v>300</v>
      </c>
    </row>
    <row r="854" spans="1:9">
      <c r="A854">
        <v>853</v>
      </c>
      <c r="B854" s="1">
        <v>45050</v>
      </c>
      <c r="C854" t="s">
        <v>866</v>
      </c>
      <c r="D854" t="s">
        <v>10</v>
      </c>
      <c r="E854">
        <v>21</v>
      </c>
      <c r="F854" t="s">
        <v>11</v>
      </c>
      <c r="G854">
        <v>2</v>
      </c>
      <c r="H854">
        <v>500</v>
      </c>
      <c r="I854">
        <v>1000</v>
      </c>
    </row>
    <row r="855" spans="1:9">
      <c r="A855">
        <v>854</v>
      </c>
      <c r="B855" s="1">
        <v>45280</v>
      </c>
      <c r="C855" t="s">
        <v>867</v>
      </c>
      <c r="D855" t="s">
        <v>10</v>
      </c>
      <c r="E855">
        <v>29</v>
      </c>
      <c r="F855" t="s">
        <v>14</v>
      </c>
      <c r="G855">
        <v>1</v>
      </c>
      <c r="H855">
        <v>50</v>
      </c>
      <c r="I855">
        <v>50</v>
      </c>
    </row>
    <row r="856" spans="1:9">
      <c r="A856">
        <v>855</v>
      </c>
      <c r="B856" s="1">
        <v>45170</v>
      </c>
      <c r="C856" t="s">
        <v>868</v>
      </c>
      <c r="D856" t="s">
        <v>10</v>
      </c>
      <c r="E856">
        <v>54</v>
      </c>
      <c r="F856" t="s">
        <v>11</v>
      </c>
      <c r="G856">
        <v>1</v>
      </c>
      <c r="H856">
        <v>25</v>
      </c>
      <c r="I856">
        <v>25</v>
      </c>
    </row>
    <row r="857" spans="1:9">
      <c r="A857">
        <v>856</v>
      </c>
      <c r="B857" s="1">
        <v>45257</v>
      </c>
      <c r="C857" t="s">
        <v>869</v>
      </c>
      <c r="D857" t="s">
        <v>10</v>
      </c>
      <c r="E857">
        <v>54</v>
      </c>
      <c r="F857" t="s">
        <v>16</v>
      </c>
      <c r="G857">
        <v>4</v>
      </c>
      <c r="H857">
        <v>30</v>
      </c>
      <c r="I857">
        <v>120</v>
      </c>
    </row>
    <row r="858" spans="1:9">
      <c r="A858">
        <v>857</v>
      </c>
      <c r="B858" s="1">
        <v>45291</v>
      </c>
      <c r="C858" t="s">
        <v>870</v>
      </c>
      <c r="D858" t="s">
        <v>10</v>
      </c>
      <c r="E858">
        <v>60</v>
      </c>
      <c r="F858" t="s">
        <v>16</v>
      </c>
      <c r="G858">
        <v>2</v>
      </c>
      <c r="H858">
        <v>25</v>
      </c>
      <c r="I858">
        <v>50</v>
      </c>
    </row>
    <row r="859" spans="1:9">
      <c r="A859">
        <v>858</v>
      </c>
      <c r="B859" s="1">
        <v>45178</v>
      </c>
      <c r="C859" t="s">
        <v>871</v>
      </c>
      <c r="D859" t="s">
        <v>10</v>
      </c>
      <c r="E859">
        <v>23</v>
      </c>
      <c r="F859" t="s">
        <v>16</v>
      </c>
      <c r="G859">
        <v>2</v>
      </c>
      <c r="H859">
        <v>50</v>
      </c>
      <c r="I859">
        <v>100</v>
      </c>
    </row>
    <row r="860" spans="1:9">
      <c r="A860">
        <v>859</v>
      </c>
      <c r="B860" s="1">
        <v>45156</v>
      </c>
      <c r="C860" t="s">
        <v>872</v>
      </c>
      <c r="D860" t="s">
        <v>13</v>
      </c>
      <c r="E860">
        <v>56</v>
      </c>
      <c r="F860" t="s">
        <v>16</v>
      </c>
      <c r="G860">
        <v>3</v>
      </c>
      <c r="H860">
        <v>500</v>
      </c>
      <c r="I860">
        <v>1500</v>
      </c>
    </row>
    <row r="861" spans="1:9">
      <c r="A861">
        <v>860</v>
      </c>
      <c r="B861" s="1">
        <v>44935</v>
      </c>
      <c r="C861" t="s">
        <v>873</v>
      </c>
      <c r="D861" t="s">
        <v>10</v>
      </c>
      <c r="E861">
        <v>63</v>
      </c>
      <c r="F861" t="s">
        <v>14</v>
      </c>
      <c r="G861">
        <v>4</v>
      </c>
      <c r="H861">
        <v>50</v>
      </c>
      <c r="I861">
        <v>200</v>
      </c>
    </row>
    <row r="862" spans="1:9">
      <c r="A862">
        <v>861</v>
      </c>
      <c r="B862" s="1">
        <v>44974</v>
      </c>
      <c r="C862" t="s">
        <v>874</v>
      </c>
      <c r="D862" t="s">
        <v>13</v>
      </c>
      <c r="E862">
        <v>41</v>
      </c>
      <c r="F862" t="s">
        <v>14</v>
      </c>
      <c r="G862">
        <v>3</v>
      </c>
      <c r="H862">
        <v>30</v>
      </c>
      <c r="I862">
        <v>90</v>
      </c>
    </row>
    <row r="863" spans="1:9">
      <c r="A863">
        <v>862</v>
      </c>
      <c r="B863" s="1">
        <v>45077</v>
      </c>
      <c r="C863" t="s">
        <v>875</v>
      </c>
      <c r="D863" t="s">
        <v>10</v>
      </c>
      <c r="E863">
        <v>28</v>
      </c>
      <c r="F863" t="s">
        <v>16</v>
      </c>
      <c r="G863">
        <v>4</v>
      </c>
      <c r="H863">
        <v>300</v>
      </c>
      <c r="I863">
        <v>1200</v>
      </c>
    </row>
    <row r="864" spans="1:9">
      <c r="A864">
        <v>863</v>
      </c>
      <c r="B864" s="1">
        <v>45040</v>
      </c>
      <c r="C864" t="s">
        <v>876</v>
      </c>
      <c r="D864" t="s">
        <v>13</v>
      </c>
      <c r="E864">
        <v>30</v>
      </c>
      <c r="F864" t="s">
        <v>16</v>
      </c>
      <c r="G864">
        <v>2</v>
      </c>
      <c r="H864">
        <v>25</v>
      </c>
      <c r="I864">
        <v>50</v>
      </c>
    </row>
    <row r="865" spans="1:9">
      <c r="A865">
        <v>864</v>
      </c>
      <c r="B865" s="1">
        <v>45134</v>
      </c>
      <c r="C865" t="s">
        <v>877</v>
      </c>
      <c r="D865" t="s">
        <v>13</v>
      </c>
      <c r="E865">
        <v>51</v>
      </c>
      <c r="F865" t="s">
        <v>16</v>
      </c>
      <c r="G865">
        <v>1</v>
      </c>
      <c r="H865">
        <v>500</v>
      </c>
      <c r="I865">
        <v>500</v>
      </c>
    </row>
    <row r="866" spans="1:9">
      <c r="A866">
        <v>865</v>
      </c>
      <c r="B866" s="1">
        <v>45281</v>
      </c>
      <c r="C866" t="s">
        <v>878</v>
      </c>
      <c r="D866" t="s">
        <v>13</v>
      </c>
      <c r="E866">
        <v>42</v>
      </c>
      <c r="F866" t="s">
        <v>14</v>
      </c>
      <c r="G866">
        <v>1</v>
      </c>
      <c r="H866">
        <v>300</v>
      </c>
      <c r="I866">
        <v>300</v>
      </c>
    </row>
    <row r="867" spans="1:9">
      <c r="A867">
        <v>866</v>
      </c>
      <c r="B867" s="1">
        <v>45051</v>
      </c>
      <c r="C867" t="s">
        <v>879</v>
      </c>
      <c r="D867" t="s">
        <v>10</v>
      </c>
      <c r="E867">
        <v>24</v>
      </c>
      <c r="F867" t="s">
        <v>16</v>
      </c>
      <c r="G867">
        <v>1</v>
      </c>
      <c r="H867">
        <v>50</v>
      </c>
      <c r="I867">
        <v>50</v>
      </c>
    </row>
    <row r="868" spans="1:9">
      <c r="A868">
        <v>867</v>
      </c>
      <c r="B868" s="1">
        <v>45083</v>
      </c>
      <c r="C868" t="s">
        <v>880</v>
      </c>
      <c r="D868" t="s">
        <v>10</v>
      </c>
      <c r="E868">
        <v>21</v>
      </c>
      <c r="F868" t="s">
        <v>16</v>
      </c>
      <c r="G868">
        <v>1</v>
      </c>
      <c r="H868">
        <v>500</v>
      </c>
      <c r="I868">
        <v>500</v>
      </c>
    </row>
    <row r="869" spans="1:9">
      <c r="A869">
        <v>868</v>
      </c>
      <c r="B869" s="1">
        <v>45266</v>
      </c>
      <c r="C869" t="s">
        <v>881</v>
      </c>
      <c r="D869" t="s">
        <v>13</v>
      </c>
      <c r="E869">
        <v>25</v>
      </c>
      <c r="F869" t="s">
        <v>16</v>
      </c>
      <c r="G869">
        <v>1</v>
      </c>
      <c r="H869">
        <v>300</v>
      </c>
      <c r="I869">
        <v>300</v>
      </c>
    </row>
    <row r="870" spans="1:9">
      <c r="A870">
        <v>869</v>
      </c>
      <c r="B870" s="1">
        <v>45224</v>
      </c>
      <c r="C870" t="s">
        <v>882</v>
      </c>
      <c r="D870" t="s">
        <v>10</v>
      </c>
      <c r="E870">
        <v>37</v>
      </c>
      <c r="F870" t="s">
        <v>11</v>
      </c>
      <c r="G870">
        <v>3</v>
      </c>
      <c r="H870">
        <v>500</v>
      </c>
      <c r="I870">
        <v>1500</v>
      </c>
    </row>
    <row r="871" spans="1:9">
      <c r="A871">
        <v>870</v>
      </c>
      <c r="B871" s="1">
        <v>45115</v>
      </c>
      <c r="C871" t="s">
        <v>883</v>
      </c>
      <c r="D871" t="s">
        <v>13</v>
      </c>
      <c r="E871">
        <v>46</v>
      </c>
      <c r="F871" t="s">
        <v>16</v>
      </c>
      <c r="G871">
        <v>4</v>
      </c>
      <c r="H871">
        <v>30</v>
      </c>
      <c r="I871">
        <v>120</v>
      </c>
    </row>
    <row r="872" spans="1:9">
      <c r="A872">
        <v>871</v>
      </c>
      <c r="B872" s="1">
        <v>45169</v>
      </c>
      <c r="C872" t="s">
        <v>884</v>
      </c>
      <c r="D872" t="s">
        <v>10</v>
      </c>
      <c r="E872">
        <v>62</v>
      </c>
      <c r="F872" t="s">
        <v>11</v>
      </c>
      <c r="G872">
        <v>2</v>
      </c>
      <c r="H872">
        <v>30</v>
      </c>
      <c r="I872">
        <v>60</v>
      </c>
    </row>
    <row r="873" spans="1:9">
      <c r="A873">
        <v>872</v>
      </c>
      <c r="B873" s="1">
        <v>45210</v>
      </c>
      <c r="C873" t="s">
        <v>885</v>
      </c>
      <c r="D873" t="s">
        <v>13</v>
      </c>
      <c r="E873">
        <v>63</v>
      </c>
      <c r="F873" t="s">
        <v>11</v>
      </c>
      <c r="G873">
        <v>3</v>
      </c>
      <c r="H873">
        <v>25</v>
      </c>
      <c r="I873">
        <v>75</v>
      </c>
    </row>
    <row r="874" spans="1:9">
      <c r="A874">
        <v>873</v>
      </c>
      <c r="B874" s="1">
        <v>45198</v>
      </c>
      <c r="C874" t="s">
        <v>886</v>
      </c>
      <c r="D874" t="s">
        <v>13</v>
      </c>
      <c r="E874">
        <v>27</v>
      </c>
      <c r="F874" t="s">
        <v>16</v>
      </c>
      <c r="G874">
        <v>4</v>
      </c>
      <c r="H874">
        <v>25</v>
      </c>
      <c r="I874">
        <v>100</v>
      </c>
    </row>
    <row r="875" spans="1:9">
      <c r="A875">
        <v>874</v>
      </c>
      <c r="B875" s="1">
        <v>45103</v>
      </c>
      <c r="C875" t="s">
        <v>887</v>
      </c>
      <c r="D875" t="s">
        <v>10</v>
      </c>
      <c r="E875">
        <v>60</v>
      </c>
      <c r="F875" t="s">
        <v>11</v>
      </c>
      <c r="G875">
        <v>1</v>
      </c>
      <c r="H875">
        <v>30</v>
      </c>
      <c r="I875">
        <v>30</v>
      </c>
    </row>
    <row r="876" spans="1:9">
      <c r="A876">
        <v>875</v>
      </c>
      <c r="B876" s="1">
        <v>45144</v>
      </c>
      <c r="C876" t="s">
        <v>888</v>
      </c>
      <c r="D876" t="s">
        <v>13</v>
      </c>
      <c r="E876">
        <v>51</v>
      </c>
      <c r="F876" t="s">
        <v>16</v>
      </c>
      <c r="G876">
        <v>4</v>
      </c>
      <c r="H876">
        <v>500</v>
      </c>
      <c r="I876">
        <v>2000</v>
      </c>
    </row>
    <row r="877" spans="1:9">
      <c r="A877">
        <v>876</v>
      </c>
      <c r="B877" s="1">
        <v>45208</v>
      </c>
      <c r="C877" t="s">
        <v>889</v>
      </c>
      <c r="D877" t="s">
        <v>10</v>
      </c>
      <c r="E877">
        <v>43</v>
      </c>
      <c r="F877" t="s">
        <v>14</v>
      </c>
      <c r="G877">
        <v>4</v>
      </c>
      <c r="H877">
        <v>30</v>
      </c>
      <c r="I877">
        <v>120</v>
      </c>
    </row>
    <row r="878" spans="1:9">
      <c r="A878">
        <v>877</v>
      </c>
      <c r="B878" s="1">
        <v>45096</v>
      </c>
      <c r="C878" t="s">
        <v>890</v>
      </c>
      <c r="D878" t="s">
        <v>13</v>
      </c>
      <c r="E878">
        <v>58</v>
      </c>
      <c r="F878" t="s">
        <v>14</v>
      </c>
      <c r="G878">
        <v>1</v>
      </c>
      <c r="H878">
        <v>25</v>
      </c>
      <c r="I878">
        <v>25</v>
      </c>
    </row>
    <row r="879" spans="1:9">
      <c r="A879">
        <v>878</v>
      </c>
      <c r="B879" s="1">
        <v>45107</v>
      </c>
      <c r="C879" t="s">
        <v>891</v>
      </c>
      <c r="D879" t="s">
        <v>13</v>
      </c>
      <c r="E879">
        <v>20</v>
      </c>
      <c r="F879" t="s">
        <v>14</v>
      </c>
      <c r="G879">
        <v>1</v>
      </c>
      <c r="H879">
        <v>30</v>
      </c>
      <c r="I879">
        <v>30</v>
      </c>
    </row>
    <row r="880" spans="1:9">
      <c r="A880">
        <v>879</v>
      </c>
      <c r="B880" s="1">
        <v>45286</v>
      </c>
      <c r="C880" t="s">
        <v>892</v>
      </c>
      <c r="D880" t="s">
        <v>10</v>
      </c>
      <c r="E880">
        <v>23</v>
      </c>
      <c r="F880" t="s">
        <v>14</v>
      </c>
      <c r="G880">
        <v>1</v>
      </c>
      <c r="H880">
        <v>30</v>
      </c>
      <c r="I880">
        <v>30</v>
      </c>
    </row>
    <row r="881" spans="1:9">
      <c r="A881">
        <v>880</v>
      </c>
      <c r="B881" s="1">
        <v>45159</v>
      </c>
      <c r="C881" t="s">
        <v>893</v>
      </c>
      <c r="D881" t="s">
        <v>10</v>
      </c>
      <c r="E881">
        <v>22</v>
      </c>
      <c r="F881" t="s">
        <v>11</v>
      </c>
      <c r="G881">
        <v>2</v>
      </c>
      <c r="H881">
        <v>500</v>
      </c>
      <c r="I881">
        <v>1000</v>
      </c>
    </row>
    <row r="882" spans="1:9">
      <c r="A882">
        <v>881</v>
      </c>
      <c r="B882" s="1">
        <v>45065</v>
      </c>
      <c r="C882" t="s">
        <v>894</v>
      </c>
      <c r="D882" t="s">
        <v>10</v>
      </c>
      <c r="E882">
        <v>22</v>
      </c>
      <c r="F882" t="s">
        <v>16</v>
      </c>
      <c r="G882">
        <v>1</v>
      </c>
      <c r="H882">
        <v>300</v>
      </c>
      <c r="I882">
        <v>300</v>
      </c>
    </row>
    <row r="883" spans="1:9">
      <c r="A883">
        <v>882</v>
      </c>
      <c r="B883" s="1">
        <v>45083</v>
      </c>
      <c r="C883" t="s">
        <v>895</v>
      </c>
      <c r="D883" t="s">
        <v>13</v>
      </c>
      <c r="E883">
        <v>64</v>
      </c>
      <c r="F883" t="s">
        <v>16</v>
      </c>
      <c r="G883">
        <v>2</v>
      </c>
      <c r="H883">
        <v>25</v>
      </c>
      <c r="I883">
        <v>50</v>
      </c>
    </row>
    <row r="884" spans="1:9">
      <c r="A884">
        <v>883</v>
      </c>
      <c r="B884" s="1">
        <v>45055</v>
      </c>
      <c r="C884" t="s">
        <v>896</v>
      </c>
      <c r="D884" t="s">
        <v>10</v>
      </c>
      <c r="E884">
        <v>40</v>
      </c>
      <c r="F884" t="s">
        <v>16</v>
      </c>
      <c r="G884">
        <v>1</v>
      </c>
      <c r="H884">
        <v>500</v>
      </c>
      <c r="I884">
        <v>500</v>
      </c>
    </row>
    <row r="885" spans="1:9">
      <c r="A885">
        <v>884</v>
      </c>
      <c r="B885" s="1">
        <v>45045</v>
      </c>
      <c r="C885" t="s">
        <v>897</v>
      </c>
      <c r="D885" t="s">
        <v>13</v>
      </c>
      <c r="E885">
        <v>26</v>
      </c>
      <c r="F885" t="s">
        <v>14</v>
      </c>
      <c r="G885">
        <v>2</v>
      </c>
      <c r="H885">
        <v>30</v>
      </c>
      <c r="I885">
        <v>60</v>
      </c>
    </row>
    <row r="886" spans="1:9">
      <c r="A886">
        <v>885</v>
      </c>
      <c r="B886" s="1">
        <v>44988</v>
      </c>
      <c r="C886" t="s">
        <v>898</v>
      </c>
      <c r="D886" t="s">
        <v>13</v>
      </c>
      <c r="E886">
        <v>52</v>
      </c>
      <c r="F886" t="s">
        <v>14</v>
      </c>
      <c r="G886">
        <v>4</v>
      </c>
      <c r="H886">
        <v>30</v>
      </c>
      <c r="I886">
        <v>120</v>
      </c>
    </row>
    <row r="887" spans="1:9">
      <c r="A887">
        <v>886</v>
      </c>
      <c r="B887" s="1">
        <v>45025</v>
      </c>
      <c r="C887" t="s">
        <v>899</v>
      </c>
      <c r="D887" t="s">
        <v>10</v>
      </c>
      <c r="E887">
        <v>37</v>
      </c>
      <c r="F887" t="s">
        <v>16</v>
      </c>
      <c r="G887">
        <v>3</v>
      </c>
      <c r="H887">
        <v>300</v>
      </c>
      <c r="I887">
        <v>900</v>
      </c>
    </row>
    <row r="888" spans="1:9">
      <c r="A888">
        <v>887</v>
      </c>
      <c r="B888" s="1">
        <v>45088</v>
      </c>
      <c r="C888" t="s">
        <v>900</v>
      </c>
      <c r="D888" t="s">
        <v>10</v>
      </c>
      <c r="E888">
        <v>59</v>
      </c>
      <c r="F888" t="s">
        <v>14</v>
      </c>
      <c r="G888">
        <v>4</v>
      </c>
      <c r="H888">
        <v>25</v>
      </c>
      <c r="I888">
        <v>100</v>
      </c>
    </row>
    <row r="889" spans="1:9">
      <c r="A889">
        <v>888</v>
      </c>
      <c r="B889" s="1">
        <v>44988</v>
      </c>
      <c r="C889" t="s">
        <v>901</v>
      </c>
      <c r="D889" t="s">
        <v>13</v>
      </c>
      <c r="E889">
        <v>52</v>
      </c>
      <c r="F889" t="s">
        <v>16</v>
      </c>
      <c r="G889">
        <v>4</v>
      </c>
      <c r="H889">
        <v>25</v>
      </c>
      <c r="I889">
        <v>100</v>
      </c>
    </row>
    <row r="890" spans="1:9">
      <c r="A890">
        <v>889</v>
      </c>
      <c r="B890" s="1">
        <v>45201</v>
      </c>
      <c r="C890" t="s">
        <v>902</v>
      </c>
      <c r="D890" t="s">
        <v>13</v>
      </c>
      <c r="E890">
        <v>35</v>
      </c>
      <c r="F890" t="s">
        <v>16</v>
      </c>
      <c r="G890">
        <v>1</v>
      </c>
      <c r="H890">
        <v>50</v>
      </c>
      <c r="I890">
        <v>50</v>
      </c>
    </row>
    <row r="891" spans="1:9">
      <c r="A891">
        <v>890</v>
      </c>
      <c r="B891" s="1">
        <v>45280</v>
      </c>
      <c r="C891" t="s">
        <v>903</v>
      </c>
      <c r="D891" t="s">
        <v>10</v>
      </c>
      <c r="E891">
        <v>34</v>
      </c>
      <c r="F891" t="s">
        <v>16</v>
      </c>
      <c r="G891">
        <v>2</v>
      </c>
      <c r="H891">
        <v>25</v>
      </c>
      <c r="I891">
        <v>50</v>
      </c>
    </row>
    <row r="892" spans="1:9">
      <c r="A892">
        <v>891</v>
      </c>
      <c r="B892" s="1">
        <v>45021</v>
      </c>
      <c r="C892" t="s">
        <v>904</v>
      </c>
      <c r="D892" t="s">
        <v>10</v>
      </c>
      <c r="E892">
        <v>41</v>
      </c>
      <c r="F892" t="s">
        <v>16</v>
      </c>
      <c r="G892">
        <v>3</v>
      </c>
      <c r="H892">
        <v>300</v>
      </c>
      <c r="I892">
        <v>900</v>
      </c>
    </row>
    <row r="893" spans="1:9">
      <c r="A893">
        <v>892</v>
      </c>
      <c r="B893" s="1">
        <v>45025</v>
      </c>
      <c r="C893" t="s">
        <v>905</v>
      </c>
      <c r="D893" t="s">
        <v>10</v>
      </c>
      <c r="E893">
        <v>20</v>
      </c>
      <c r="F893" t="s">
        <v>16</v>
      </c>
      <c r="G893">
        <v>1</v>
      </c>
      <c r="H893">
        <v>50</v>
      </c>
      <c r="I893">
        <v>50</v>
      </c>
    </row>
    <row r="894" spans="1:9">
      <c r="A894">
        <v>893</v>
      </c>
      <c r="B894" s="1">
        <v>45037</v>
      </c>
      <c r="C894" t="s">
        <v>906</v>
      </c>
      <c r="D894" t="s">
        <v>10</v>
      </c>
      <c r="E894">
        <v>49</v>
      </c>
      <c r="F894" t="s">
        <v>16</v>
      </c>
      <c r="G894">
        <v>1</v>
      </c>
      <c r="H894">
        <v>50</v>
      </c>
      <c r="I894">
        <v>50</v>
      </c>
    </row>
    <row r="895" spans="1:9">
      <c r="A895">
        <v>894</v>
      </c>
      <c r="B895" s="1">
        <v>45174</v>
      </c>
      <c r="C895" t="s">
        <v>907</v>
      </c>
      <c r="D895" t="s">
        <v>10</v>
      </c>
      <c r="E895">
        <v>52</v>
      </c>
      <c r="F895" t="s">
        <v>16</v>
      </c>
      <c r="G895">
        <v>1</v>
      </c>
      <c r="H895">
        <v>30</v>
      </c>
      <c r="I895">
        <v>30</v>
      </c>
    </row>
    <row r="896" spans="1:9">
      <c r="A896">
        <v>895</v>
      </c>
      <c r="B896" s="1">
        <v>45068</v>
      </c>
      <c r="C896" t="s">
        <v>908</v>
      </c>
      <c r="D896" t="s">
        <v>13</v>
      </c>
      <c r="E896">
        <v>55</v>
      </c>
      <c r="F896" t="s">
        <v>14</v>
      </c>
      <c r="G896">
        <v>4</v>
      </c>
      <c r="H896">
        <v>30</v>
      </c>
      <c r="I896">
        <v>120</v>
      </c>
    </row>
    <row r="897" spans="1:9">
      <c r="A897">
        <v>896</v>
      </c>
      <c r="B897" s="1">
        <v>45228</v>
      </c>
      <c r="C897" t="s">
        <v>909</v>
      </c>
      <c r="D897" t="s">
        <v>13</v>
      </c>
      <c r="E897">
        <v>30</v>
      </c>
      <c r="F897" t="s">
        <v>16</v>
      </c>
      <c r="G897">
        <v>2</v>
      </c>
      <c r="H897">
        <v>25</v>
      </c>
      <c r="I897">
        <v>50</v>
      </c>
    </row>
    <row r="898" spans="1:9">
      <c r="A898">
        <v>897</v>
      </c>
      <c r="B898" s="1">
        <v>45195</v>
      </c>
      <c r="C898" t="s">
        <v>910</v>
      </c>
      <c r="D898" t="s">
        <v>13</v>
      </c>
      <c r="E898">
        <v>64</v>
      </c>
      <c r="F898" t="s">
        <v>16</v>
      </c>
      <c r="G898">
        <v>2</v>
      </c>
      <c r="H898">
        <v>50</v>
      </c>
      <c r="I898">
        <v>100</v>
      </c>
    </row>
    <row r="899" spans="1:9">
      <c r="A899">
        <v>898</v>
      </c>
      <c r="B899" s="1">
        <v>45232</v>
      </c>
      <c r="C899" t="s">
        <v>911</v>
      </c>
      <c r="D899" t="s">
        <v>13</v>
      </c>
      <c r="E899">
        <v>42</v>
      </c>
      <c r="F899" t="s">
        <v>14</v>
      </c>
      <c r="G899">
        <v>3</v>
      </c>
      <c r="H899">
        <v>30</v>
      </c>
      <c r="I899">
        <v>90</v>
      </c>
    </row>
    <row r="900" spans="1:9">
      <c r="A900">
        <v>899</v>
      </c>
      <c r="B900" s="1">
        <v>45071</v>
      </c>
      <c r="C900" t="s">
        <v>912</v>
      </c>
      <c r="D900" t="s">
        <v>10</v>
      </c>
      <c r="E900">
        <v>26</v>
      </c>
      <c r="F900" t="s">
        <v>14</v>
      </c>
      <c r="G900">
        <v>2</v>
      </c>
      <c r="H900">
        <v>300</v>
      </c>
      <c r="I900">
        <v>600</v>
      </c>
    </row>
    <row r="901" spans="1:9">
      <c r="A901">
        <v>900</v>
      </c>
      <c r="B901" s="1">
        <v>44978</v>
      </c>
      <c r="C901" t="s">
        <v>913</v>
      </c>
      <c r="D901" t="s">
        <v>10</v>
      </c>
      <c r="E901">
        <v>21</v>
      </c>
      <c r="F901" t="s">
        <v>14</v>
      </c>
      <c r="G901">
        <v>2</v>
      </c>
      <c r="H901">
        <v>30</v>
      </c>
      <c r="I901">
        <v>60</v>
      </c>
    </row>
    <row r="902" spans="1:9">
      <c r="A902">
        <v>901</v>
      </c>
      <c r="B902" s="1">
        <v>45026</v>
      </c>
      <c r="C902" t="s">
        <v>914</v>
      </c>
      <c r="D902" t="s">
        <v>10</v>
      </c>
      <c r="E902">
        <v>31</v>
      </c>
      <c r="F902" t="s">
        <v>16</v>
      </c>
      <c r="G902">
        <v>1</v>
      </c>
      <c r="H902">
        <v>30</v>
      </c>
      <c r="I902">
        <v>30</v>
      </c>
    </row>
    <row r="903" spans="1:9">
      <c r="A903">
        <v>902</v>
      </c>
      <c r="B903" s="1">
        <v>45078</v>
      </c>
      <c r="C903" t="s">
        <v>915</v>
      </c>
      <c r="D903" t="s">
        <v>13</v>
      </c>
      <c r="E903">
        <v>54</v>
      </c>
      <c r="F903" t="s">
        <v>11</v>
      </c>
      <c r="G903">
        <v>1</v>
      </c>
      <c r="H903">
        <v>50</v>
      </c>
      <c r="I903">
        <v>50</v>
      </c>
    </row>
    <row r="904" spans="1:9">
      <c r="A904">
        <v>903</v>
      </c>
      <c r="B904" s="1">
        <v>45043</v>
      </c>
      <c r="C904" t="s">
        <v>916</v>
      </c>
      <c r="D904" t="s">
        <v>13</v>
      </c>
      <c r="E904">
        <v>51</v>
      </c>
      <c r="F904" t="s">
        <v>11</v>
      </c>
      <c r="G904">
        <v>4</v>
      </c>
      <c r="H904">
        <v>50</v>
      </c>
      <c r="I904">
        <v>200</v>
      </c>
    </row>
    <row r="905" spans="1:9">
      <c r="A905">
        <v>904</v>
      </c>
      <c r="B905" s="1">
        <v>45111</v>
      </c>
      <c r="C905" t="s">
        <v>917</v>
      </c>
      <c r="D905" t="s">
        <v>10</v>
      </c>
      <c r="E905">
        <v>28</v>
      </c>
      <c r="F905" t="s">
        <v>14</v>
      </c>
      <c r="G905">
        <v>1</v>
      </c>
      <c r="H905">
        <v>500</v>
      </c>
      <c r="I905">
        <v>500</v>
      </c>
    </row>
    <row r="906" spans="1:9">
      <c r="A906">
        <v>905</v>
      </c>
      <c r="B906" s="1">
        <v>45018</v>
      </c>
      <c r="C906" t="s">
        <v>918</v>
      </c>
      <c r="D906" t="s">
        <v>10</v>
      </c>
      <c r="E906">
        <v>58</v>
      </c>
      <c r="F906" t="s">
        <v>11</v>
      </c>
      <c r="G906">
        <v>1</v>
      </c>
      <c r="H906">
        <v>300</v>
      </c>
      <c r="I906">
        <v>300</v>
      </c>
    </row>
    <row r="907" spans="1:9">
      <c r="A907">
        <v>906</v>
      </c>
      <c r="B907" s="1">
        <v>45081</v>
      </c>
      <c r="C907" t="s">
        <v>919</v>
      </c>
      <c r="D907" t="s">
        <v>13</v>
      </c>
      <c r="E907">
        <v>20</v>
      </c>
      <c r="F907" t="s">
        <v>14</v>
      </c>
      <c r="G907">
        <v>1</v>
      </c>
      <c r="H907">
        <v>50</v>
      </c>
      <c r="I907">
        <v>50</v>
      </c>
    </row>
    <row r="908" spans="1:9">
      <c r="A908">
        <v>907</v>
      </c>
      <c r="B908" s="1">
        <v>44934</v>
      </c>
      <c r="C908" t="s">
        <v>920</v>
      </c>
      <c r="D908" t="s">
        <v>13</v>
      </c>
      <c r="E908">
        <v>45</v>
      </c>
      <c r="F908" t="s">
        <v>16</v>
      </c>
      <c r="G908">
        <v>1</v>
      </c>
      <c r="H908">
        <v>25</v>
      </c>
      <c r="I908">
        <v>25</v>
      </c>
    </row>
    <row r="909" spans="1:9">
      <c r="A909">
        <v>908</v>
      </c>
      <c r="B909" s="1">
        <v>45289</v>
      </c>
      <c r="C909" t="s">
        <v>921</v>
      </c>
      <c r="D909" t="s">
        <v>10</v>
      </c>
      <c r="E909">
        <v>46</v>
      </c>
      <c r="F909" t="s">
        <v>11</v>
      </c>
      <c r="G909">
        <v>4</v>
      </c>
      <c r="H909">
        <v>300</v>
      </c>
      <c r="I909">
        <v>1200</v>
      </c>
    </row>
    <row r="910" spans="1:9">
      <c r="A910">
        <v>909</v>
      </c>
      <c r="B910" s="1">
        <v>45200</v>
      </c>
      <c r="C910" t="s">
        <v>922</v>
      </c>
      <c r="D910" t="s">
        <v>10</v>
      </c>
      <c r="E910">
        <v>26</v>
      </c>
      <c r="F910" t="s">
        <v>16</v>
      </c>
      <c r="G910">
        <v>1</v>
      </c>
      <c r="H910">
        <v>300</v>
      </c>
      <c r="I910">
        <v>300</v>
      </c>
    </row>
    <row r="911" spans="1:9">
      <c r="A911">
        <v>910</v>
      </c>
      <c r="B911" s="1">
        <v>44991</v>
      </c>
      <c r="C911" t="s">
        <v>923</v>
      </c>
      <c r="D911" t="s">
        <v>13</v>
      </c>
      <c r="E911">
        <v>20</v>
      </c>
      <c r="F911" t="s">
        <v>11</v>
      </c>
      <c r="G911">
        <v>3</v>
      </c>
      <c r="H911">
        <v>50</v>
      </c>
      <c r="I911">
        <v>150</v>
      </c>
    </row>
    <row r="912" spans="1:9">
      <c r="A912">
        <v>911</v>
      </c>
      <c r="B912" s="1">
        <v>45067</v>
      </c>
      <c r="C912" t="s">
        <v>924</v>
      </c>
      <c r="D912" t="s">
        <v>10</v>
      </c>
      <c r="E912">
        <v>42</v>
      </c>
      <c r="F912" t="s">
        <v>16</v>
      </c>
      <c r="G912">
        <v>3</v>
      </c>
      <c r="H912">
        <v>300</v>
      </c>
      <c r="I912">
        <v>900</v>
      </c>
    </row>
    <row r="913" spans="1:9">
      <c r="A913">
        <v>912</v>
      </c>
      <c r="B913" s="1">
        <v>44950</v>
      </c>
      <c r="C913" t="s">
        <v>925</v>
      </c>
      <c r="D913" t="s">
        <v>10</v>
      </c>
      <c r="E913">
        <v>51</v>
      </c>
      <c r="F913" t="s">
        <v>11</v>
      </c>
      <c r="G913">
        <v>3</v>
      </c>
      <c r="H913">
        <v>50</v>
      </c>
      <c r="I913">
        <v>150</v>
      </c>
    </row>
    <row r="914" spans="1:9">
      <c r="A914">
        <v>913</v>
      </c>
      <c r="B914" s="1">
        <v>44954</v>
      </c>
      <c r="C914" t="s">
        <v>926</v>
      </c>
      <c r="D914" t="s">
        <v>10</v>
      </c>
      <c r="E914">
        <v>29</v>
      </c>
      <c r="F914" t="s">
        <v>16</v>
      </c>
      <c r="G914">
        <v>3</v>
      </c>
      <c r="H914">
        <v>30</v>
      </c>
      <c r="I914">
        <v>90</v>
      </c>
    </row>
    <row r="915" spans="1:9">
      <c r="A915">
        <v>914</v>
      </c>
      <c r="B915" s="1">
        <v>45210</v>
      </c>
      <c r="C915" t="s">
        <v>927</v>
      </c>
      <c r="D915" t="s">
        <v>13</v>
      </c>
      <c r="E915">
        <v>59</v>
      </c>
      <c r="F915" t="s">
        <v>16</v>
      </c>
      <c r="G915">
        <v>1</v>
      </c>
      <c r="H915">
        <v>500</v>
      </c>
      <c r="I915">
        <v>500</v>
      </c>
    </row>
    <row r="916" spans="1:9">
      <c r="A916">
        <v>915</v>
      </c>
      <c r="B916" s="1">
        <v>45076</v>
      </c>
      <c r="C916" t="s">
        <v>928</v>
      </c>
      <c r="D916" t="s">
        <v>13</v>
      </c>
      <c r="E916">
        <v>26</v>
      </c>
      <c r="F916" t="s">
        <v>11</v>
      </c>
      <c r="G916">
        <v>3</v>
      </c>
      <c r="H916">
        <v>30</v>
      </c>
      <c r="I916">
        <v>90</v>
      </c>
    </row>
    <row r="917" spans="1:9">
      <c r="A917">
        <v>916</v>
      </c>
      <c r="B917" s="1">
        <v>45284</v>
      </c>
      <c r="C917" t="s">
        <v>929</v>
      </c>
      <c r="D917" t="s">
        <v>13</v>
      </c>
      <c r="E917">
        <v>32</v>
      </c>
      <c r="F917" t="s">
        <v>16</v>
      </c>
      <c r="G917">
        <v>1</v>
      </c>
      <c r="H917">
        <v>50</v>
      </c>
      <c r="I917">
        <v>50</v>
      </c>
    </row>
    <row r="918" spans="1:9">
      <c r="A918">
        <v>917</v>
      </c>
      <c r="B918" s="1">
        <v>44991</v>
      </c>
      <c r="C918" t="s">
        <v>930</v>
      </c>
      <c r="D918" t="s">
        <v>13</v>
      </c>
      <c r="E918">
        <v>57</v>
      </c>
      <c r="F918" t="s">
        <v>16</v>
      </c>
      <c r="G918">
        <v>4</v>
      </c>
      <c r="H918">
        <v>50</v>
      </c>
      <c r="I918">
        <v>200</v>
      </c>
    </row>
    <row r="919" spans="1:9">
      <c r="A919">
        <v>918</v>
      </c>
      <c r="B919" s="1">
        <v>45253</v>
      </c>
      <c r="C919" t="s">
        <v>931</v>
      </c>
      <c r="D919" t="s">
        <v>13</v>
      </c>
      <c r="E919">
        <v>42</v>
      </c>
      <c r="F919" t="s">
        <v>16</v>
      </c>
      <c r="G919">
        <v>3</v>
      </c>
      <c r="H919">
        <v>30</v>
      </c>
      <c r="I919">
        <v>90</v>
      </c>
    </row>
    <row r="920" spans="1:9">
      <c r="A920">
        <v>919</v>
      </c>
      <c r="B920" s="1">
        <v>45178</v>
      </c>
      <c r="C920" t="s">
        <v>932</v>
      </c>
      <c r="D920" t="s">
        <v>13</v>
      </c>
      <c r="E920">
        <v>22</v>
      </c>
      <c r="F920" t="s">
        <v>11</v>
      </c>
      <c r="G920">
        <v>2</v>
      </c>
      <c r="H920">
        <v>25</v>
      </c>
      <c r="I920">
        <v>50</v>
      </c>
    </row>
    <row r="921" spans="1:9">
      <c r="A921">
        <v>920</v>
      </c>
      <c r="B921" s="1">
        <v>44979</v>
      </c>
      <c r="C921" t="s">
        <v>933</v>
      </c>
      <c r="D921" t="s">
        <v>13</v>
      </c>
      <c r="E921">
        <v>28</v>
      </c>
      <c r="F921" t="s">
        <v>11</v>
      </c>
      <c r="G921">
        <v>3</v>
      </c>
      <c r="H921">
        <v>25</v>
      </c>
      <c r="I921">
        <v>75</v>
      </c>
    </row>
    <row r="922" spans="1:9">
      <c r="A922">
        <v>921</v>
      </c>
      <c r="B922" s="1">
        <v>44933</v>
      </c>
      <c r="C922" t="s">
        <v>934</v>
      </c>
      <c r="D922" t="s">
        <v>10</v>
      </c>
      <c r="E922">
        <v>51</v>
      </c>
      <c r="F922" t="s">
        <v>16</v>
      </c>
      <c r="G922">
        <v>3</v>
      </c>
      <c r="H922">
        <v>25</v>
      </c>
      <c r="I922">
        <v>75</v>
      </c>
    </row>
    <row r="923" spans="1:9">
      <c r="A923">
        <v>922</v>
      </c>
      <c r="B923" s="1">
        <v>45220</v>
      </c>
      <c r="C923" t="s">
        <v>935</v>
      </c>
      <c r="D923" t="s">
        <v>10</v>
      </c>
      <c r="E923">
        <v>41</v>
      </c>
      <c r="F923" t="s">
        <v>16</v>
      </c>
      <c r="G923">
        <v>1</v>
      </c>
      <c r="H923">
        <v>50</v>
      </c>
      <c r="I923">
        <v>50</v>
      </c>
    </row>
    <row r="924" spans="1:9">
      <c r="A924">
        <v>923</v>
      </c>
      <c r="B924" s="1">
        <v>45072</v>
      </c>
      <c r="C924" t="s">
        <v>936</v>
      </c>
      <c r="D924" t="s">
        <v>10</v>
      </c>
      <c r="E924">
        <v>32</v>
      </c>
      <c r="F924" t="s">
        <v>11</v>
      </c>
      <c r="G924">
        <v>3</v>
      </c>
      <c r="H924">
        <v>300</v>
      </c>
      <c r="I924">
        <v>900</v>
      </c>
    </row>
    <row r="925" spans="1:9">
      <c r="A925">
        <v>924</v>
      </c>
      <c r="B925" s="1">
        <v>45167</v>
      </c>
      <c r="C925" t="s">
        <v>937</v>
      </c>
      <c r="D925" t="s">
        <v>10</v>
      </c>
      <c r="E925">
        <v>55</v>
      </c>
      <c r="F925" t="s">
        <v>11</v>
      </c>
      <c r="G925">
        <v>2</v>
      </c>
      <c r="H925">
        <v>50</v>
      </c>
      <c r="I925">
        <v>100</v>
      </c>
    </row>
    <row r="926" spans="1:9">
      <c r="A926">
        <v>925</v>
      </c>
      <c r="B926" s="1">
        <v>45172</v>
      </c>
      <c r="C926" t="s">
        <v>938</v>
      </c>
      <c r="D926" t="s">
        <v>10</v>
      </c>
      <c r="E926">
        <v>25</v>
      </c>
      <c r="F926" t="s">
        <v>16</v>
      </c>
      <c r="G926">
        <v>1</v>
      </c>
      <c r="H926">
        <v>300</v>
      </c>
      <c r="I926">
        <v>300</v>
      </c>
    </row>
    <row r="927" spans="1:9">
      <c r="A927">
        <v>926</v>
      </c>
      <c r="B927" s="1">
        <v>45152</v>
      </c>
      <c r="C927" t="s">
        <v>939</v>
      </c>
      <c r="D927" t="s">
        <v>10</v>
      </c>
      <c r="E927">
        <v>22</v>
      </c>
      <c r="F927" t="s">
        <v>16</v>
      </c>
      <c r="G927">
        <v>1</v>
      </c>
      <c r="H927">
        <v>30</v>
      </c>
      <c r="I927">
        <v>30</v>
      </c>
    </row>
    <row r="928" spans="1:9">
      <c r="A928">
        <v>927</v>
      </c>
      <c r="B928" s="1">
        <v>45101</v>
      </c>
      <c r="C928" t="s">
        <v>940</v>
      </c>
      <c r="D928" t="s">
        <v>10</v>
      </c>
      <c r="E928">
        <v>43</v>
      </c>
      <c r="F928" t="s">
        <v>16</v>
      </c>
      <c r="G928">
        <v>4</v>
      </c>
      <c r="H928">
        <v>500</v>
      </c>
      <c r="I928">
        <v>2000</v>
      </c>
    </row>
    <row r="929" spans="1:9">
      <c r="A929">
        <v>928</v>
      </c>
      <c r="B929" s="1">
        <v>45021</v>
      </c>
      <c r="C929" t="s">
        <v>941</v>
      </c>
      <c r="D929" t="s">
        <v>13</v>
      </c>
      <c r="E929">
        <v>35</v>
      </c>
      <c r="F929" t="s">
        <v>14</v>
      </c>
      <c r="G929">
        <v>4</v>
      </c>
      <c r="H929">
        <v>300</v>
      </c>
      <c r="I929">
        <v>1200</v>
      </c>
    </row>
    <row r="930" spans="1:9">
      <c r="A930">
        <v>929</v>
      </c>
      <c r="B930" s="1">
        <v>44953</v>
      </c>
      <c r="C930" t="s">
        <v>942</v>
      </c>
      <c r="D930" t="s">
        <v>13</v>
      </c>
      <c r="E930">
        <v>23</v>
      </c>
      <c r="F930" t="s">
        <v>11</v>
      </c>
      <c r="G930">
        <v>3</v>
      </c>
      <c r="H930">
        <v>25</v>
      </c>
      <c r="I930">
        <v>75</v>
      </c>
    </row>
    <row r="931" spans="1:9">
      <c r="A931">
        <v>930</v>
      </c>
      <c r="B931" s="1">
        <v>45056</v>
      </c>
      <c r="C931" t="s">
        <v>943</v>
      </c>
      <c r="D931" t="s">
        <v>10</v>
      </c>
      <c r="E931">
        <v>54</v>
      </c>
      <c r="F931" t="s">
        <v>14</v>
      </c>
      <c r="G931">
        <v>4</v>
      </c>
      <c r="H931">
        <v>50</v>
      </c>
      <c r="I931">
        <v>200</v>
      </c>
    </row>
    <row r="932" spans="1:9">
      <c r="A932">
        <v>931</v>
      </c>
      <c r="B932" s="1">
        <v>45171</v>
      </c>
      <c r="C932" t="s">
        <v>944</v>
      </c>
      <c r="D932" t="s">
        <v>10</v>
      </c>
      <c r="E932">
        <v>30</v>
      </c>
      <c r="F932" t="s">
        <v>11</v>
      </c>
      <c r="G932">
        <v>4</v>
      </c>
      <c r="H932">
        <v>30</v>
      </c>
      <c r="I932">
        <v>120</v>
      </c>
    </row>
    <row r="933" spans="1:9">
      <c r="A933">
        <v>932</v>
      </c>
      <c r="B933" s="1">
        <v>44985</v>
      </c>
      <c r="C933" t="s">
        <v>945</v>
      </c>
      <c r="D933" t="s">
        <v>13</v>
      </c>
      <c r="E933">
        <v>45</v>
      </c>
      <c r="F933" t="s">
        <v>11</v>
      </c>
      <c r="G933">
        <v>4</v>
      </c>
      <c r="H933">
        <v>25</v>
      </c>
      <c r="I933">
        <v>100</v>
      </c>
    </row>
    <row r="934" spans="1:9">
      <c r="A934">
        <v>933</v>
      </c>
      <c r="B934" s="1">
        <v>44960</v>
      </c>
      <c r="C934" t="s">
        <v>946</v>
      </c>
      <c r="D934" t="s">
        <v>10</v>
      </c>
      <c r="E934">
        <v>22</v>
      </c>
      <c r="F934" t="s">
        <v>11</v>
      </c>
      <c r="G934">
        <v>1</v>
      </c>
      <c r="H934">
        <v>30</v>
      </c>
      <c r="I934">
        <v>30</v>
      </c>
    </row>
    <row r="935" spans="1:9">
      <c r="A935">
        <v>934</v>
      </c>
      <c r="B935" s="1">
        <v>45132</v>
      </c>
      <c r="C935" t="s">
        <v>947</v>
      </c>
      <c r="D935" t="s">
        <v>10</v>
      </c>
      <c r="E935">
        <v>30</v>
      </c>
      <c r="F935" t="s">
        <v>11</v>
      </c>
      <c r="G935">
        <v>1</v>
      </c>
      <c r="H935">
        <v>500</v>
      </c>
      <c r="I935">
        <v>500</v>
      </c>
    </row>
    <row r="936" spans="1:9">
      <c r="A936">
        <v>935</v>
      </c>
      <c r="B936" s="1">
        <v>45178</v>
      </c>
      <c r="C936" t="s">
        <v>948</v>
      </c>
      <c r="D936" t="s">
        <v>13</v>
      </c>
      <c r="E936">
        <v>34</v>
      </c>
      <c r="F936" t="s">
        <v>11</v>
      </c>
      <c r="G936">
        <v>1</v>
      </c>
      <c r="H936">
        <v>50</v>
      </c>
      <c r="I936">
        <v>50</v>
      </c>
    </row>
    <row r="937" spans="1:9">
      <c r="A937">
        <v>936</v>
      </c>
      <c r="B937" s="1">
        <v>44964</v>
      </c>
      <c r="C937" t="s">
        <v>949</v>
      </c>
      <c r="D937" t="s">
        <v>10</v>
      </c>
      <c r="E937">
        <v>57</v>
      </c>
      <c r="F937" t="s">
        <v>11</v>
      </c>
      <c r="G937">
        <v>4</v>
      </c>
      <c r="H937">
        <v>50</v>
      </c>
      <c r="I937">
        <v>200</v>
      </c>
    </row>
    <row r="938" spans="1:9">
      <c r="A938">
        <v>937</v>
      </c>
      <c r="B938" s="1">
        <v>45222</v>
      </c>
      <c r="C938" t="s">
        <v>950</v>
      </c>
      <c r="D938" t="s">
        <v>13</v>
      </c>
      <c r="E938">
        <v>62</v>
      </c>
      <c r="F938" t="s">
        <v>11</v>
      </c>
      <c r="G938">
        <v>1</v>
      </c>
      <c r="H938">
        <v>500</v>
      </c>
      <c r="I938">
        <v>500</v>
      </c>
    </row>
    <row r="939" spans="1:9">
      <c r="A939">
        <v>938</v>
      </c>
      <c r="B939" s="1">
        <v>45249</v>
      </c>
      <c r="C939" t="s">
        <v>951</v>
      </c>
      <c r="D939" t="s">
        <v>10</v>
      </c>
      <c r="E939">
        <v>49</v>
      </c>
      <c r="F939" t="s">
        <v>14</v>
      </c>
      <c r="G939">
        <v>4</v>
      </c>
      <c r="H939">
        <v>50</v>
      </c>
      <c r="I939">
        <v>200</v>
      </c>
    </row>
    <row r="940" spans="1:9">
      <c r="A940">
        <v>939</v>
      </c>
      <c r="B940" s="1">
        <v>45278</v>
      </c>
      <c r="C940" t="s">
        <v>952</v>
      </c>
      <c r="D940" t="s">
        <v>13</v>
      </c>
      <c r="E940">
        <v>46</v>
      </c>
      <c r="F940" t="s">
        <v>16</v>
      </c>
      <c r="G940">
        <v>1</v>
      </c>
      <c r="H940">
        <v>300</v>
      </c>
      <c r="I940">
        <v>300</v>
      </c>
    </row>
    <row r="941" spans="1:9">
      <c r="A941">
        <v>940</v>
      </c>
      <c r="B941" s="1">
        <v>44954</v>
      </c>
      <c r="C941" t="s">
        <v>953</v>
      </c>
      <c r="D941" t="s">
        <v>13</v>
      </c>
      <c r="E941">
        <v>20</v>
      </c>
      <c r="F941" t="s">
        <v>16</v>
      </c>
      <c r="G941">
        <v>1</v>
      </c>
      <c r="H941">
        <v>30</v>
      </c>
      <c r="I941">
        <v>30</v>
      </c>
    </row>
    <row r="942" spans="1:9">
      <c r="A942">
        <v>941</v>
      </c>
      <c r="B942" s="1">
        <v>45004</v>
      </c>
      <c r="C942" t="s">
        <v>954</v>
      </c>
      <c r="D942" t="s">
        <v>13</v>
      </c>
      <c r="E942">
        <v>57</v>
      </c>
      <c r="F942" t="s">
        <v>14</v>
      </c>
      <c r="G942">
        <v>2</v>
      </c>
      <c r="H942">
        <v>25</v>
      </c>
      <c r="I942">
        <v>50</v>
      </c>
    </row>
    <row r="943" spans="1:9">
      <c r="A943">
        <v>942</v>
      </c>
      <c r="B943" s="1">
        <v>45003</v>
      </c>
      <c r="C943" t="s">
        <v>955</v>
      </c>
      <c r="D943" t="s">
        <v>10</v>
      </c>
      <c r="E943">
        <v>51</v>
      </c>
      <c r="F943" t="s">
        <v>14</v>
      </c>
      <c r="G943">
        <v>3</v>
      </c>
      <c r="H943">
        <v>500</v>
      </c>
      <c r="I943">
        <v>1500</v>
      </c>
    </row>
    <row r="944" spans="1:9">
      <c r="A944">
        <v>943</v>
      </c>
      <c r="B944" s="1">
        <v>45215</v>
      </c>
      <c r="C944" t="s">
        <v>956</v>
      </c>
      <c r="D944" t="s">
        <v>13</v>
      </c>
      <c r="E944">
        <v>57</v>
      </c>
      <c r="F944" t="s">
        <v>14</v>
      </c>
      <c r="G944">
        <v>4</v>
      </c>
      <c r="H944">
        <v>300</v>
      </c>
      <c r="I944">
        <v>1200</v>
      </c>
    </row>
    <row r="945" spans="1:9">
      <c r="A945">
        <v>944</v>
      </c>
      <c r="B945" s="1">
        <v>45082</v>
      </c>
      <c r="C945" t="s">
        <v>957</v>
      </c>
      <c r="D945" t="s">
        <v>10</v>
      </c>
      <c r="E945">
        <v>44</v>
      </c>
      <c r="F945" t="s">
        <v>14</v>
      </c>
      <c r="G945">
        <v>2</v>
      </c>
      <c r="H945">
        <v>25</v>
      </c>
      <c r="I945">
        <v>50</v>
      </c>
    </row>
    <row r="946" spans="1:9">
      <c r="A946">
        <v>945</v>
      </c>
      <c r="B946" s="1">
        <v>44970</v>
      </c>
      <c r="C946" t="s">
        <v>958</v>
      </c>
      <c r="D946" t="s">
        <v>10</v>
      </c>
      <c r="E946">
        <v>30</v>
      </c>
      <c r="F946" t="s">
        <v>11</v>
      </c>
      <c r="G946">
        <v>1</v>
      </c>
      <c r="H946">
        <v>25</v>
      </c>
      <c r="I946">
        <v>25</v>
      </c>
    </row>
    <row r="947" spans="1:9">
      <c r="A947">
        <v>946</v>
      </c>
      <c r="B947" s="1">
        <v>45054</v>
      </c>
      <c r="C947" t="s">
        <v>959</v>
      </c>
      <c r="D947" t="s">
        <v>10</v>
      </c>
      <c r="E947">
        <v>62</v>
      </c>
      <c r="F947" t="s">
        <v>16</v>
      </c>
      <c r="G947">
        <v>4</v>
      </c>
      <c r="H947">
        <v>500</v>
      </c>
      <c r="I947">
        <v>2000</v>
      </c>
    </row>
    <row r="948" spans="1:9">
      <c r="A948">
        <v>947</v>
      </c>
      <c r="B948" s="1">
        <v>44987</v>
      </c>
      <c r="C948" t="s">
        <v>960</v>
      </c>
      <c r="D948" t="s">
        <v>10</v>
      </c>
      <c r="E948">
        <v>50</v>
      </c>
      <c r="F948" t="s">
        <v>11</v>
      </c>
      <c r="G948">
        <v>1</v>
      </c>
      <c r="H948">
        <v>300</v>
      </c>
      <c r="I948">
        <v>300</v>
      </c>
    </row>
    <row r="949" spans="1:9">
      <c r="A949">
        <v>948</v>
      </c>
      <c r="B949" s="1">
        <v>45212</v>
      </c>
      <c r="C949" t="s">
        <v>961</v>
      </c>
      <c r="D949" t="s">
        <v>13</v>
      </c>
      <c r="E949">
        <v>23</v>
      </c>
      <c r="F949" t="s">
        <v>16</v>
      </c>
      <c r="G949">
        <v>3</v>
      </c>
      <c r="H949">
        <v>25</v>
      </c>
      <c r="I949">
        <v>75</v>
      </c>
    </row>
    <row r="950" spans="1:9">
      <c r="A950">
        <v>949</v>
      </c>
      <c r="B950" s="1">
        <v>45140</v>
      </c>
      <c r="C950" t="s">
        <v>962</v>
      </c>
      <c r="D950" t="s">
        <v>13</v>
      </c>
      <c r="E950">
        <v>41</v>
      </c>
      <c r="F950" t="s">
        <v>16</v>
      </c>
      <c r="G950">
        <v>2</v>
      </c>
      <c r="H950">
        <v>25</v>
      </c>
      <c r="I950">
        <v>50</v>
      </c>
    </row>
    <row r="951" spans="1:9">
      <c r="A951">
        <v>950</v>
      </c>
      <c r="B951" s="1">
        <v>45237</v>
      </c>
      <c r="C951" t="s">
        <v>963</v>
      </c>
      <c r="D951" t="s">
        <v>10</v>
      </c>
      <c r="E951">
        <v>36</v>
      </c>
      <c r="F951" t="s">
        <v>14</v>
      </c>
      <c r="G951">
        <v>3</v>
      </c>
      <c r="H951">
        <v>300</v>
      </c>
      <c r="I951">
        <v>900</v>
      </c>
    </row>
    <row r="952" spans="1:9">
      <c r="A952">
        <v>951</v>
      </c>
      <c r="B952" s="1">
        <v>45232</v>
      </c>
      <c r="C952" t="s">
        <v>964</v>
      </c>
      <c r="D952" t="s">
        <v>10</v>
      </c>
      <c r="E952">
        <v>33</v>
      </c>
      <c r="F952" t="s">
        <v>11</v>
      </c>
      <c r="G952">
        <v>2</v>
      </c>
      <c r="H952">
        <v>50</v>
      </c>
      <c r="I952">
        <v>100</v>
      </c>
    </row>
    <row r="953" spans="1:9">
      <c r="A953">
        <v>952</v>
      </c>
      <c r="B953" s="1">
        <v>45243</v>
      </c>
      <c r="C953" t="s">
        <v>965</v>
      </c>
      <c r="D953" t="s">
        <v>13</v>
      </c>
      <c r="E953">
        <v>57</v>
      </c>
      <c r="F953" t="s">
        <v>14</v>
      </c>
      <c r="G953">
        <v>1</v>
      </c>
      <c r="H953">
        <v>25</v>
      </c>
      <c r="I953">
        <v>25</v>
      </c>
    </row>
    <row r="954" spans="1:9">
      <c r="A954">
        <v>953</v>
      </c>
      <c r="B954" s="1">
        <v>45042</v>
      </c>
      <c r="C954" t="s">
        <v>966</v>
      </c>
      <c r="D954" t="s">
        <v>10</v>
      </c>
      <c r="E954">
        <v>45</v>
      </c>
      <c r="F954" t="s">
        <v>11</v>
      </c>
      <c r="G954">
        <v>3</v>
      </c>
      <c r="H954">
        <v>30</v>
      </c>
      <c r="I954">
        <v>90</v>
      </c>
    </row>
    <row r="955" spans="1:9">
      <c r="A955">
        <v>954</v>
      </c>
      <c r="B955" s="1">
        <v>45194</v>
      </c>
      <c r="C955" t="s">
        <v>967</v>
      </c>
      <c r="D955" t="s">
        <v>13</v>
      </c>
      <c r="E955">
        <v>50</v>
      </c>
      <c r="F955" t="s">
        <v>16</v>
      </c>
      <c r="G955">
        <v>3</v>
      </c>
      <c r="H955">
        <v>300</v>
      </c>
      <c r="I955">
        <v>900</v>
      </c>
    </row>
    <row r="956" spans="1:9">
      <c r="A956">
        <v>955</v>
      </c>
      <c r="B956" s="1">
        <v>45121</v>
      </c>
      <c r="C956" t="s">
        <v>968</v>
      </c>
      <c r="D956" t="s">
        <v>10</v>
      </c>
      <c r="E956">
        <v>58</v>
      </c>
      <c r="F956" t="s">
        <v>14</v>
      </c>
      <c r="G956">
        <v>1</v>
      </c>
      <c r="H956">
        <v>25</v>
      </c>
      <c r="I956">
        <v>25</v>
      </c>
    </row>
    <row r="957" spans="1:9">
      <c r="A957">
        <v>956</v>
      </c>
      <c r="B957" s="1">
        <v>45157</v>
      </c>
      <c r="C957" t="s">
        <v>969</v>
      </c>
      <c r="D957" t="s">
        <v>10</v>
      </c>
      <c r="E957">
        <v>30</v>
      </c>
      <c r="F957" t="s">
        <v>14</v>
      </c>
      <c r="G957">
        <v>3</v>
      </c>
      <c r="H957">
        <v>500</v>
      </c>
      <c r="I957">
        <v>1500</v>
      </c>
    </row>
    <row r="958" spans="1:9">
      <c r="A958">
        <v>957</v>
      </c>
      <c r="B958" s="1">
        <v>45153</v>
      </c>
      <c r="C958" t="s">
        <v>970</v>
      </c>
      <c r="D958" t="s">
        <v>13</v>
      </c>
      <c r="E958">
        <v>60</v>
      </c>
      <c r="F958" t="s">
        <v>16</v>
      </c>
      <c r="G958">
        <v>4</v>
      </c>
      <c r="H958">
        <v>30</v>
      </c>
      <c r="I958">
        <v>120</v>
      </c>
    </row>
    <row r="959" spans="1:9">
      <c r="A959">
        <v>958</v>
      </c>
      <c r="B959" s="1">
        <v>45079</v>
      </c>
      <c r="C959" t="s">
        <v>971</v>
      </c>
      <c r="D959" t="s">
        <v>10</v>
      </c>
      <c r="E959">
        <v>62</v>
      </c>
      <c r="F959" t="s">
        <v>16</v>
      </c>
      <c r="G959">
        <v>2</v>
      </c>
      <c r="H959">
        <v>25</v>
      </c>
      <c r="I959">
        <v>50</v>
      </c>
    </row>
    <row r="960" spans="1:9">
      <c r="A960">
        <v>959</v>
      </c>
      <c r="B960" s="1">
        <v>45228</v>
      </c>
      <c r="C960" t="s">
        <v>972</v>
      </c>
      <c r="D960" t="s">
        <v>13</v>
      </c>
      <c r="E960">
        <v>42</v>
      </c>
      <c r="F960" t="s">
        <v>16</v>
      </c>
      <c r="G960">
        <v>2</v>
      </c>
      <c r="H960">
        <v>30</v>
      </c>
      <c r="I960">
        <v>60</v>
      </c>
    </row>
    <row r="961" spans="1:9">
      <c r="A961">
        <v>960</v>
      </c>
      <c r="B961" s="1">
        <v>45146</v>
      </c>
      <c r="C961" t="s">
        <v>973</v>
      </c>
      <c r="D961" t="s">
        <v>10</v>
      </c>
      <c r="E961">
        <v>59</v>
      </c>
      <c r="F961" t="s">
        <v>14</v>
      </c>
      <c r="G961">
        <v>2</v>
      </c>
      <c r="H961">
        <v>30</v>
      </c>
      <c r="I961">
        <v>60</v>
      </c>
    </row>
    <row r="962" spans="1:9">
      <c r="A962">
        <v>961</v>
      </c>
      <c r="B962" s="1">
        <v>45083</v>
      </c>
      <c r="C962" t="s">
        <v>974</v>
      </c>
      <c r="D962" t="s">
        <v>10</v>
      </c>
      <c r="E962">
        <v>53</v>
      </c>
      <c r="F962" t="s">
        <v>11</v>
      </c>
      <c r="G962">
        <v>4</v>
      </c>
      <c r="H962">
        <v>50</v>
      </c>
      <c r="I962">
        <v>200</v>
      </c>
    </row>
    <row r="963" spans="1:9">
      <c r="A963">
        <v>962</v>
      </c>
      <c r="B963" s="1">
        <v>45218</v>
      </c>
      <c r="C963" t="s">
        <v>975</v>
      </c>
      <c r="D963" t="s">
        <v>10</v>
      </c>
      <c r="E963">
        <v>44</v>
      </c>
      <c r="F963" t="s">
        <v>14</v>
      </c>
      <c r="G963">
        <v>2</v>
      </c>
      <c r="H963">
        <v>30</v>
      </c>
      <c r="I963">
        <v>60</v>
      </c>
    </row>
    <row r="964" spans="1:9">
      <c r="A964">
        <v>963</v>
      </c>
      <c r="B964" s="1">
        <v>45244</v>
      </c>
      <c r="C964" t="s">
        <v>976</v>
      </c>
      <c r="D964" t="s">
        <v>13</v>
      </c>
      <c r="E964">
        <v>55</v>
      </c>
      <c r="F964" t="s">
        <v>11</v>
      </c>
      <c r="G964">
        <v>1</v>
      </c>
      <c r="H964">
        <v>50</v>
      </c>
      <c r="I964">
        <v>50</v>
      </c>
    </row>
    <row r="965" spans="1:9">
      <c r="A965">
        <v>964</v>
      </c>
      <c r="B965" s="1">
        <v>44957</v>
      </c>
      <c r="C965" t="s">
        <v>977</v>
      </c>
      <c r="D965" t="s">
        <v>10</v>
      </c>
      <c r="E965">
        <v>24</v>
      </c>
      <c r="F965" t="s">
        <v>14</v>
      </c>
      <c r="G965">
        <v>3</v>
      </c>
      <c r="H965">
        <v>300</v>
      </c>
      <c r="I965">
        <v>900</v>
      </c>
    </row>
    <row r="966" spans="1:9">
      <c r="A966">
        <v>965</v>
      </c>
      <c r="B966" s="1">
        <v>45239</v>
      </c>
      <c r="C966" t="s">
        <v>978</v>
      </c>
      <c r="D966" t="s">
        <v>10</v>
      </c>
      <c r="E966">
        <v>22</v>
      </c>
      <c r="F966" t="s">
        <v>14</v>
      </c>
      <c r="G966">
        <v>4</v>
      </c>
      <c r="H966">
        <v>50</v>
      </c>
      <c r="I966">
        <v>200</v>
      </c>
    </row>
    <row r="967" spans="1:9">
      <c r="A967">
        <v>966</v>
      </c>
      <c r="B967" s="1">
        <v>44977</v>
      </c>
      <c r="C967" t="s">
        <v>979</v>
      </c>
      <c r="D967" t="s">
        <v>10</v>
      </c>
      <c r="E967">
        <v>60</v>
      </c>
      <c r="F967" t="s">
        <v>16</v>
      </c>
      <c r="G967">
        <v>2</v>
      </c>
      <c r="H967">
        <v>500</v>
      </c>
      <c r="I967">
        <v>1000</v>
      </c>
    </row>
    <row r="968" spans="1:9">
      <c r="A968">
        <v>967</v>
      </c>
      <c r="B968" s="1">
        <v>45033</v>
      </c>
      <c r="C968" t="s">
        <v>980</v>
      </c>
      <c r="D968" t="s">
        <v>10</v>
      </c>
      <c r="E968">
        <v>62</v>
      </c>
      <c r="F968" t="s">
        <v>11</v>
      </c>
      <c r="G968">
        <v>1</v>
      </c>
      <c r="H968">
        <v>25</v>
      </c>
      <c r="I968">
        <v>25</v>
      </c>
    </row>
    <row r="969" spans="1:9">
      <c r="A969">
        <v>968</v>
      </c>
      <c r="B969" s="1">
        <v>45247</v>
      </c>
      <c r="C969" t="s">
        <v>981</v>
      </c>
      <c r="D969" t="s">
        <v>13</v>
      </c>
      <c r="E969">
        <v>48</v>
      </c>
      <c r="F969" t="s">
        <v>14</v>
      </c>
      <c r="G969">
        <v>3</v>
      </c>
      <c r="H969">
        <v>300</v>
      </c>
      <c r="I969">
        <v>900</v>
      </c>
    </row>
    <row r="970" spans="1:9">
      <c r="A970">
        <v>969</v>
      </c>
      <c r="B970" s="1">
        <v>45035</v>
      </c>
      <c r="C970" t="s">
        <v>982</v>
      </c>
      <c r="D970" t="s">
        <v>13</v>
      </c>
      <c r="E970">
        <v>40</v>
      </c>
      <c r="F970" t="s">
        <v>14</v>
      </c>
      <c r="G970">
        <v>3</v>
      </c>
      <c r="H970">
        <v>300</v>
      </c>
      <c r="I970">
        <v>900</v>
      </c>
    </row>
    <row r="971" spans="1:9">
      <c r="A971">
        <v>970</v>
      </c>
      <c r="B971" s="1">
        <v>45062</v>
      </c>
      <c r="C971" t="s">
        <v>983</v>
      </c>
      <c r="D971" t="s">
        <v>10</v>
      </c>
      <c r="E971">
        <v>59</v>
      </c>
      <c r="F971" t="s">
        <v>16</v>
      </c>
      <c r="G971">
        <v>4</v>
      </c>
      <c r="H971">
        <v>500</v>
      </c>
      <c r="I971">
        <v>2000</v>
      </c>
    </row>
    <row r="972" spans="1:9">
      <c r="A972">
        <v>971</v>
      </c>
      <c r="B972" s="1">
        <v>45265</v>
      </c>
      <c r="C972" t="s">
        <v>984</v>
      </c>
      <c r="D972" t="s">
        <v>13</v>
      </c>
      <c r="E972">
        <v>27</v>
      </c>
      <c r="F972" t="s">
        <v>16</v>
      </c>
      <c r="G972">
        <v>4</v>
      </c>
      <c r="H972">
        <v>50</v>
      </c>
      <c r="I972">
        <v>200</v>
      </c>
    </row>
    <row r="973" spans="1:9">
      <c r="A973">
        <v>972</v>
      </c>
      <c r="B973" s="1">
        <v>44968</v>
      </c>
      <c r="C973" t="s">
        <v>985</v>
      </c>
      <c r="D973" t="s">
        <v>10</v>
      </c>
      <c r="E973">
        <v>49</v>
      </c>
      <c r="F973" t="s">
        <v>11</v>
      </c>
      <c r="G973">
        <v>4</v>
      </c>
      <c r="H973">
        <v>25</v>
      </c>
      <c r="I973">
        <v>100</v>
      </c>
    </row>
    <row r="974" spans="1:9">
      <c r="A974">
        <v>973</v>
      </c>
      <c r="B974" s="1">
        <v>45007</v>
      </c>
      <c r="C974" t="s">
        <v>986</v>
      </c>
      <c r="D974" t="s">
        <v>10</v>
      </c>
      <c r="E974">
        <v>60</v>
      </c>
      <c r="F974" t="s">
        <v>14</v>
      </c>
      <c r="G974">
        <v>1</v>
      </c>
      <c r="H974">
        <v>50</v>
      </c>
      <c r="I974">
        <v>50</v>
      </c>
    </row>
    <row r="975" spans="1:9">
      <c r="A975">
        <v>974</v>
      </c>
      <c r="B975" s="1">
        <v>45049</v>
      </c>
      <c r="C975" t="s">
        <v>987</v>
      </c>
      <c r="D975" t="s">
        <v>10</v>
      </c>
      <c r="E975">
        <v>47</v>
      </c>
      <c r="F975" t="s">
        <v>11</v>
      </c>
      <c r="G975">
        <v>1</v>
      </c>
      <c r="H975">
        <v>30</v>
      </c>
      <c r="I975">
        <v>30</v>
      </c>
    </row>
    <row r="976" spans="1:9">
      <c r="A976">
        <v>975</v>
      </c>
      <c r="B976" s="1">
        <v>45015</v>
      </c>
      <c r="C976" t="s">
        <v>988</v>
      </c>
      <c r="D976" t="s">
        <v>13</v>
      </c>
      <c r="E976">
        <v>56</v>
      </c>
      <c r="F976" t="s">
        <v>14</v>
      </c>
      <c r="G976">
        <v>4</v>
      </c>
      <c r="H976">
        <v>50</v>
      </c>
      <c r="I976">
        <v>200</v>
      </c>
    </row>
    <row r="977" spans="1:9">
      <c r="A977">
        <v>976</v>
      </c>
      <c r="B977" s="1">
        <v>45209</v>
      </c>
      <c r="C977" t="s">
        <v>989</v>
      </c>
      <c r="D977" t="s">
        <v>13</v>
      </c>
      <c r="E977">
        <v>48</v>
      </c>
      <c r="F977" t="s">
        <v>11</v>
      </c>
      <c r="G977">
        <v>2</v>
      </c>
      <c r="H977">
        <v>300</v>
      </c>
      <c r="I977">
        <v>600</v>
      </c>
    </row>
    <row r="978" spans="1:9">
      <c r="A978">
        <v>977</v>
      </c>
      <c r="B978" s="1">
        <v>44965</v>
      </c>
      <c r="C978" t="s">
        <v>990</v>
      </c>
      <c r="D978" t="s">
        <v>13</v>
      </c>
      <c r="E978">
        <v>35</v>
      </c>
      <c r="F978" t="s">
        <v>16</v>
      </c>
      <c r="G978">
        <v>3</v>
      </c>
      <c r="H978">
        <v>25</v>
      </c>
      <c r="I978">
        <v>75</v>
      </c>
    </row>
    <row r="979" spans="1:9">
      <c r="A979">
        <v>978</v>
      </c>
      <c r="B979" s="1">
        <v>45007</v>
      </c>
      <c r="C979" t="s">
        <v>991</v>
      </c>
      <c r="D979" t="s">
        <v>13</v>
      </c>
      <c r="E979">
        <v>53</v>
      </c>
      <c r="F979" t="s">
        <v>14</v>
      </c>
      <c r="G979">
        <v>3</v>
      </c>
      <c r="H979">
        <v>50</v>
      </c>
      <c r="I979">
        <v>150</v>
      </c>
    </row>
    <row r="980" spans="1:9">
      <c r="A980">
        <v>979</v>
      </c>
      <c r="B980" s="1">
        <v>44928</v>
      </c>
      <c r="C980" t="s">
        <v>992</v>
      </c>
      <c r="D980" t="s">
        <v>13</v>
      </c>
      <c r="E980">
        <v>19</v>
      </c>
      <c r="F980" t="s">
        <v>11</v>
      </c>
      <c r="G980">
        <v>1</v>
      </c>
      <c r="H980">
        <v>25</v>
      </c>
      <c r="I980">
        <v>25</v>
      </c>
    </row>
    <row r="981" spans="1:9">
      <c r="A981">
        <v>980</v>
      </c>
      <c r="B981" s="1">
        <v>45136</v>
      </c>
      <c r="C981" t="s">
        <v>993</v>
      </c>
      <c r="D981" t="s">
        <v>13</v>
      </c>
      <c r="E981">
        <v>31</v>
      </c>
      <c r="F981" t="s">
        <v>16</v>
      </c>
      <c r="G981">
        <v>3</v>
      </c>
      <c r="H981">
        <v>25</v>
      </c>
      <c r="I981">
        <v>75</v>
      </c>
    </row>
    <row r="982" spans="1:9">
      <c r="A982">
        <v>981</v>
      </c>
      <c r="B982" s="1">
        <v>45157</v>
      </c>
      <c r="C982" t="s">
        <v>994</v>
      </c>
      <c r="D982" t="s">
        <v>13</v>
      </c>
      <c r="E982">
        <v>30</v>
      </c>
      <c r="F982" t="s">
        <v>16</v>
      </c>
      <c r="G982">
        <v>2</v>
      </c>
      <c r="H982">
        <v>30</v>
      </c>
      <c r="I982">
        <v>60</v>
      </c>
    </row>
    <row r="983" spans="1:9">
      <c r="A983">
        <v>982</v>
      </c>
      <c r="B983" s="1">
        <v>45279</v>
      </c>
      <c r="C983" t="s">
        <v>995</v>
      </c>
      <c r="D983" t="s">
        <v>13</v>
      </c>
      <c r="E983">
        <v>46</v>
      </c>
      <c r="F983" t="s">
        <v>11</v>
      </c>
      <c r="G983">
        <v>3</v>
      </c>
      <c r="H983">
        <v>30</v>
      </c>
      <c r="I983">
        <v>90</v>
      </c>
    </row>
    <row r="984" spans="1:9">
      <c r="A984">
        <v>983</v>
      </c>
      <c r="B984" s="1">
        <v>45231</v>
      </c>
      <c r="C984" t="s">
        <v>996</v>
      </c>
      <c r="D984" t="s">
        <v>13</v>
      </c>
      <c r="E984">
        <v>29</v>
      </c>
      <c r="F984" t="s">
        <v>14</v>
      </c>
      <c r="G984">
        <v>1</v>
      </c>
      <c r="H984">
        <v>300</v>
      </c>
      <c r="I984">
        <v>300</v>
      </c>
    </row>
    <row r="985" spans="1:9">
      <c r="A985">
        <v>984</v>
      </c>
      <c r="B985" s="1">
        <v>45167</v>
      </c>
      <c r="C985" t="s">
        <v>997</v>
      </c>
      <c r="D985" t="s">
        <v>10</v>
      </c>
      <c r="E985">
        <v>56</v>
      </c>
      <c r="F985" t="s">
        <v>14</v>
      </c>
      <c r="G985">
        <v>1</v>
      </c>
      <c r="H985">
        <v>500</v>
      </c>
      <c r="I985">
        <v>500</v>
      </c>
    </row>
    <row r="986" spans="1:9">
      <c r="A986">
        <v>985</v>
      </c>
      <c r="B986" s="1">
        <v>45076</v>
      </c>
      <c r="C986" t="s">
        <v>998</v>
      </c>
      <c r="D986" t="s">
        <v>13</v>
      </c>
      <c r="E986">
        <v>19</v>
      </c>
      <c r="F986" t="s">
        <v>16</v>
      </c>
      <c r="G986">
        <v>2</v>
      </c>
      <c r="H986">
        <v>25</v>
      </c>
      <c r="I986">
        <v>50</v>
      </c>
    </row>
    <row r="987" spans="1:9">
      <c r="A987">
        <v>986</v>
      </c>
      <c r="B987" s="1">
        <v>44943</v>
      </c>
      <c r="C987" t="s">
        <v>999</v>
      </c>
      <c r="D987" t="s">
        <v>13</v>
      </c>
      <c r="E987">
        <v>49</v>
      </c>
      <c r="F987" t="s">
        <v>14</v>
      </c>
      <c r="G987">
        <v>2</v>
      </c>
      <c r="H987">
        <v>500</v>
      </c>
      <c r="I987">
        <v>1000</v>
      </c>
    </row>
    <row r="988" spans="1:9">
      <c r="A988">
        <v>987</v>
      </c>
      <c r="B988" s="1">
        <v>45045</v>
      </c>
      <c r="C988" t="s">
        <v>1000</v>
      </c>
      <c r="D988" t="s">
        <v>13</v>
      </c>
      <c r="E988">
        <v>30</v>
      </c>
      <c r="F988" t="s">
        <v>14</v>
      </c>
      <c r="G988">
        <v>3</v>
      </c>
      <c r="H988">
        <v>300</v>
      </c>
      <c r="I988">
        <v>900</v>
      </c>
    </row>
    <row r="989" spans="1:9">
      <c r="A989">
        <v>988</v>
      </c>
      <c r="B989" s="1">
        <v>45074</v>
      </c>
      <c r="C989" t="s">
        <v>1001</v>
      </c>
      <c r="D989" t="s">
        <v>13</v>
      </c>
      <c r="E989">
        <v>63</v>
      </c>
      <c r="F989" t="s">
        <v>14</v>
      </c>
      <c r="G989">
        <v>3</v>
      </c>
      <c r="H989">
        <v>25</v>
      </c>
      <c r="I989">
        <v>75</v>
      </c>
    </row>
    <row r="990" spans="1:9">
      <c r="A990">
        <v>989</v>
      </c>
      <c r="B990" s="1">
        <v>45288</v>
      </c>
      <c r="C990" t="s">
        <v>1002</v>
      </c>
      <c r="D990" t="s">
        <v>13</v>
      </c>
      <c r="E990">
        <v>44</v>
      </c>
      <c r="F990" t="s">
        <v>16</v>
      </c>
      <c r="G990">
        <v>1</v>
      </c>
      <c r="H990">
        <v>25</v>
      </c>
      <c r="I990">
        <v>25</v>
      </c>
    </row>
    <row r="991" spans="1:9">
      <c r="A991">
        <v>990</v>
      </c>
      <c r="B991" s="1">
        <v>45071</v>
      </c>
      <c r="C991" t="s">
        <v>1003</v>
      </c>
      <c r="D991" t="s">
        <v>13</v>
      </c>
      <c r="E991">
        <v>58</v>
      </c>
      <c r="F991" t="s">
        <v>11</v>
      </c>
      <c r="G991">
        <v>2</v>
      </c>
      <c r="H991">
        <v>500</v>
      </c>
      <c r="I991">
        <v>1000</v>
      </c>
    </row>
    <row r="992" spans="1:9">
      <c r="A992">
        <v>991</v>
      </c>
      <c r="B992" s="1">
        <v>45286</v>
      </c>
      <c r="C992" t="s">
        <v>1004</v>
      </c>
      <c r="D992" t="s">
        <v>13</v>
      </c>
      <c r="E992">
        <v>34</v>
      </c>
      <c r="F992" t="s">
        <v>14</v>
      </c>
      <c r="G992">
        <v>2</v>
      </c>
      <c r="H992">
        <v>50</v>
      </c>
      <c r="I992">
        <v>100</v>
      </c>
    </row>
    <row r="993" spans="1:9">
      <c r="A993">
        <v>992</v>
      </c>
      <c r="B993" s="1">
        <v>45159</v>
      </c>
      <c r="C993" t="s">
        <v>1005</v>
      </c>
      <c r="D993" t="s">
        <v>13</v>
      </c>
      <c r="E993">
        <v>57</v>
      </c>
      <c r="F993" t="s">
        <v>16</v>
      </c>
      <c r="G993">
        <v>2</v>
      </c>
      <c r="H993">
        <v>30</v>
      </c>
      <c r="I993">
        <v>60</v>
      </c>
    </row>
    <row r="994" spans="1:9">
      <c r="A994">
        <v>993</v>
      </c>
      <c r="B994" s="1">
        <v>44963</v>
      </c>
      <c r="C994" t="s">
        <v>1006</v>
      </c>
      <c r="D994" t="s">
        <v>13</v>
      </c>
      <c r="E994">
        <v>48</v>
      </c>
      <c r="F994" t="s">
        <v>16</v>
      </c>
      <c r="G994">
        <v>3</v>
      </c>
      <c r="H994">
        <v>50</v>
      </c>
      <c r="I994">
        <v>150</v>
      </c>
    </row>
    <row r="995" spans="1:9">
      <c r="A995">
        <v>994</v>
      </c>
      <c r="B995" s="1">
        <v>45278</v>
      </c>
      <c r="C995" t="s">
        <v>1007</v>
      </c>
      <c r="D995" t="s">
        <v>13</v>
      </c>
      <c r="E995">
        <v>51</v>
      </c>
      <c r="F995" t="s">
        <v>11</v>
      </c>
      <c r="G995">
        <v>2</v>
      </c>
      <c r="H995">
        <v>500</v>
      </c>
      <c r="I995">
        <v>1000</v>
      </c>
    </row>
    <row r="996" spans="1:9">
      <c r="A996">
        <v>995</v>
      </c>
      <c r="B996" s="1">
        <v>45046</v>
      </c>
      <c r="C996" t="s">
        <v>1008</v>
      </c>
      <c r="D996" t="s">
        <v>13</v>
      </c>
      <c r="E996">
        <v>41</v>
      </c>
      <c r="F996" t="s">
        <v>14</v>
      </c>
      <c r="G996">
        <v>1</v>
      </c>
      <c r="H996">
        <v>30</v>
      </c>
      <c r="I996">
        <v>30</v>
      </c>
    </row>
    <row r="997" spans="1:9">
      <c r="A997">
        <v>996</v>
      </c>
      <c r="B997" s="1">
        <v>45062</v>
      </c>
      <c r="C997" t="s">
        <v>1009</v>
      </c>
      <c r="D997" t="s">
        <v>10</v>
      </c>
      <c r="E997">
        <v>62</v>
      </c>
      <c r="F997" t="s">
        <v>14</v>
      </c>
      <c r="G997">
        <v>1</v>
      </c>
      <c r="H997">
        <v>50</v>
      </c>
      <c r="I997">
        <v>50</v>
      </c>
    </row>
    <row r="998" spans="1:9">
      <c r="A998">
        <v>997</v>
      </c>
      <c r="B998" s="1">
        <v>45247</v>
      </c>
      <c r="C998" t="s">
        <v>1010</v>
      </c>
      <c r="D998" t="s">
        <v>10</v>
      </c>
      <c r="E998">
        <v>52</v>
      </c>
      <c r="F998" t="s">
        <v>11</v>
      </c>
      <c r="G998">
        <v>3</v>
      </c>
      <c r="H998">
        <v>30</v>
      </c>
      <c r="I998">
        <v>90</v>
      </c>
    </row>
    <row r="999" spans="1:9">
      <c r="A999">
        <v>998</v>
      </c>
      <c r="B999" s="1">
        <v>45228</v>
      </c>
      <c r="C999" t="s">
        <v>1011</v>
      </c>
      <c r="D999" t="s">
        <v>13</v>
      </c>
      <c r="E999">
        <v>23</v>
      </c>
      <c r="F999" t="s">
        <v>11</v>
      </c>
      <c r="G999">
        <v>4</v>
      </c>
      <c r="H999">
        <v>25</v>
      </c>
      <c r="I999">
        <v>100</v>
      </c>
    </row>
    <row r="1000" spans="1:9">
      <c r="A1000">
        <v>999</v>
      </c>
      <c r="B1000" s="1">
        <v>45265</v>
      </c>
      <c r="C1000" t="s">
        <v>1012</v>
      </c>
      <c r="D1000" t="s">
        <v>13</v>
      </c>
      <c r="E1000">
        <v>36</v>
      </c>
      <c r="F1000" t="s">
        <v>16</v>
      </c>
      <c r="G1000">
        <v>3</v>
      </c>
      <c r="H1000">
        <v>50</v>
      </c>
      <c r="I1000">
        <v>150</v>
      </c>
    </row>
    <row r="1001" spans="1:9">
      <c r="A1001">
        <v>1000</v>
      </c>
      <c r="B1001" s="1">
        <v>45028</v>
      </c>
      <c r="C1001" t="s">
        <v>1013</v>
      </c>
      <c r="D1001" t="s">
        <v>10</v>
      </c>
      <c r="E1001">
        <v>47</v>
      </c>
      <c r="F1001" t="s">
        <v>16</v>
      </c>
      <c r="G1001">
        <v>4</v>
      </c>
      <c r="H1001">
        <v>30</v>
      </c>
      <c r="I1001">
        <v>120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A5DC6-042F-2E43-9B5D-31DFECCA3373}">
  <dimension ref="A1:K1001"/>
  <sheetViews>
    <sheetView workbookViewId="0">
      <selection activeCell="K3" sqref="K3"/>
    </sheetView>
  </sheetViews>
  <sheetFormatPr defaultColWidth="10.6640625" defaultRowHeight="16"/>
  <cols>
    <col min="1" max="1" width="15.5" bestFit="1" customWidth="1"/>
    <col min="2" max="2" width="10.1640625" style="1" bestFit="1" customWidth="1"/>
    <col min="3" max="3" width="14.1640625" bestFit="1" customWidth="1"/>
    <col min="4" max="4" width="9.6640625" bestFit="1" customWidth="1"/>
    <col min="5" max="5" width="6.83203125" style="2" bestFit="1" customWidth="1"/>
    <col min="6" max="6" width="18" bestFit="1" customWidth="1"/>
    <col min="7" max="7" width="10.6640625" style="2" bestFit="1" customWidth="1"/>
    <col min="8" max="8" width="14.6640625" style="3" bestFit="1" customWidth="1"/>
    <col min="9" max="9" width="14.5" style="3" bestFit="1" customWidth="1"/>
    <col min="10" max="10" width="13.1640625" bestFit="1" customWidth="1"/>
    <col min="11" max="11" width="9.6640625" bestFit="1" customWidth="1"/>
  </cols>
  <sheetData>
    <row r="1" spans="1:11">
      <c r="A1" t="s">
        <v>0</v>
      </c>
      <c r="B1" s="1" t="s">
        <v>1</v>
      </c>
      <c r="C1" t="s">
        <v>2</v>
      </c>
      <c r="D1" t="s">
        <v>3</v>
      </c>
      <c r="E1" s="2" t="s">
        <v>4</v>
      </c>
      <c r="F1" t="s">
        <v>5</v>
      </c>
      <c r="G1" s="2" t="s">
        <v>6</v>
      </c>
      <c r="H1" s="3" t="s">
        <v>7</v>
      </c>
      <c r="I1" s="6" t="s">
        <v>8</v>
      </c>
      <c r="J1" t="s">
        <v>1018</v>
      </c>
      <c r="K1" t="s">
        <v>1037</v>
      </c>
    </row>
    <row r="2" spans="1:11">
      <c r="A2">
        <v>1</v>
      </c>
      <c r="B2" s="1">
        <v>45254</v>
      </c>
      <c r="C2" t="s">
        <v>9</v>
      </c>
      <c r="D2" t="s">
        <v>10</v>
      </c>
      <c r="E2" s="2">
        <v>34</v>
      </c>
      <c r="F2" t="s">
        <v>11</v>
      </c>
      <c r="G2" s="2">
        <v>3</v>
      </c>
      <c r="H2" s="3">
        <v>50</v>
      </c>
      <c r="I2" s="3">
        <v>150</v>
      </c>
      <c r="J2" s="2" t="str">
        <f t="shared" ref="J2:J65" si="0">IF(AND(E2&gt;=18, E2&lt;=24), "18–24",
 IF(AND(E2&gt;=25, E2&lt;=34), "25–34",
 IF(AND(E2&gt;=35, E2&lt;=44), "35–44",
 IF(AND(E2&gt;=45, E2&lt;=54), "45–54",
 IF(AND(E2&gt;=55, E2&lt;=64), "55–64", "Other")))))</f>
        <v>25–34</v>
      </c>
      <c r="K2" t="str" cm="1">
        <f t="array" ref="K2">_xlfn.IFS(
  OR(MONTH(B2)=12, MONTH(B2)=1, MONTH(B2)=2), "Winter",
  OR(MONTH(B2)=3, MONTH(B2)=4, MONTH(B2)=5), "Spring",
  OR(MONTH(B2)=6, MONTH(B2)=7, MONTH(B2)=8), "Summer",
  OR(MONTH(B2)=9, MONTH(B2)=10, MONTH(B2)=11), "Fall"
)</f>
        <v>Fall</v>
      </c>
    </row>
    <row r="3" spans="1:11">
      <c r="A3">
        <v>2</v>
      </c>
      <c r="B3" s="1">
        <v>44984</v>
      </c>
      <c r="C3" t="s">
        <v>12</v>
      </c>
      <c r="D3" t="s">
        <v>13</v>
      </c>
      <c r="E3" s="2">
        <v>26</v>
      </c>
      <c r="F3" t="s">
        <v>14</v>
      </c>
      <c r="G3" s="2">
        <v>2</v>
      </c>
      <c r="H3" s="3">
        <v>500</v>
      </c>
      <c r="I3" s="3">
        <v>1000</v>
      </c>
      <c r="J3" s="2" t="str">
        <f t="shared" si="0"/>
        <v>25–34</v>
      </c>
      <c r="K3" t="str" cm="1">
        <f t="array" ref="K3">_xlfn.IFS(
  OR(MONTH(B3)=12, MONTH(B3)=1, MONTH(B3)=2), "Winter",
  OR(MONTH(B3)=3, MONTH(B3)=4, MONTH(B3)=5), "Spring",
  OR(MONTH(B3)=6, MONTH(B3)=7, MONTH(B3)=8), "Summer",
  OR(MONTH(B3)=9, MONTH(B3)=10, MONTH(B3)=11), "Fall"
)</f>
        <v>Winter</v>
      </c>
    </row>
    <row r="4" spans="1:11">
      <c r="A4">
        <v>3</v>
      </c>
      <c r="B4" s="1">
        <v>44939</v>
      </c>
      <c r="C4" t="s">
        <v>15</v>
      </c>
      <c r="D4" t="s">
        <v>10</v>
      </c>
      <c r="E4" s="2">
        <v>50</v>
      </c>
      <c r="F4" t="s">
        <v>16</v>
      </c>
      <c r="G4" s="2">
        <v>1</v>
      </c>
      <c r="H4" s="3">
        <v>30</v>
      </c>
      <c r="I4" s="3">
        <v>30</v>
      </c>
      <c r="J4" s="2" t="str">
        <f t="shared" si="0"/>
        <v>45–54</v>
      </c>
      <c r="K4" t="str" cm="1">
        <f t="array" ref="K4">_xlfn.IFS(
  OR(MONTH(B4)=12, MONTH(B4)=1, MONTH(B4)=2), "Winter",
  OR(MONTH(B4)=3, MONTH(B4)=4, MONTH(B4)=5), "Spring",
  OR(MONTH(B4)=6, MONTH(B4)=7, MONTH(B4)=8), "Summer",
  OR(MONTH(B4)=9, MONTH(B4)=10, MONTH(B4)=11), "Fall"
)</f>
        <v>Winter</v>
      </c>
    </row>
    <row r="5" spans="1:11">
      <c r="A5">
        <v>4</v>
      </c>
      <c r="B5" s="1">
        <v>45067</v>
      </c>
      <c r="C5" t="s">
        <v>17</v>
      </c>
      <c r="D5" t="s">
        <v>10</v>
      </c>
      <c r="E5" s="2">
        <v>37</v>
      </c>
      <c r="F5" t="s">
        <v>14</v>
      </c>
      <c r="G5" s="2">
        <v>1</v>
      </c>
      <c r="H5" s="3">
        <v>500</v>
      </c>
      <c r="I5" s="3">
        <v>500</v>
      </c>
      <c r="J5" s="2" t="str">
        <f t="shared" si="0"/>
        <v>35–44</v>
      </c>
      <c r="K5" t="str" cm="1">
        <f t="array" ref="K5">_xlfn.IFS(
  OR(MONTH(B5)=12, MONTH(B5)=1, MONTH(B5)=2), "Winter",
  OR(MONTH(B5)=3, MONTH(B5)=4, MONTH(B5)=5), "Spring",
  OR(MONTH(B5)=6, MONTH(B5)=7, MONTH(B5)=8), "Summer",
  OR(MONTH(B5)=9, MONTH(B5)=10, MONTH(B5)=11), "Fall"
)</f>
        <v>Spring</v>
      </c>
    </row>
    <row r="6" spans="1:11">
      <c r="A6">
        <v>5</v>
      </c>
      <c r="B6" s="1">
        <v>45052</v>
      </c>
      <c r="C6" t="s">
        <v>18</v>
      </c>
      <c r="D6" t="s">
        <v>10</v>
      </c>
      <c r="E6" s="2">
        <v>30</v>
      </c>
      <c r="F6" t="s">
        <v>11</v>
      </c>
      <c r="G6" s="2">
        <v>2</v>
      </c>
      <c r="H6" s="3">
        <v>50</v>
      </c>
      <c r="I6" s="3">
        <v>100</v>
      </c>
      <c r="J6" s="2" t="str">
        <f t="shared" si="0"/>
        <v>25–34</v>
      </c>
      <c r="K6" t="str" cm="1">
        <f t="array" ref="K6">_xlfn.IFS(
  OR(MONTH(B6)=12, MONTH(B6)=1, MONTH(B6)=2), "Winter",
  OR(MONTH(B6)=3, MONTH(B6)=4, MONTH(B6)=5), "Spring",
  OR(MONTH(B6)=6, MONTH(B6)=7, MONTH(B6)=8), "Summer",
  OR(MONTH(B6)=9, MONTH(B6)=10, MONTH(B6)=11), "Fall"
)</f>
        <v>Spring</v>
      </c>
    </row>
    <row r="7" spans="1:11">
      <c r="A7">
        <v>6</v>
      </c>
      <c r="B7" s="1">
        <v>45041</v>
      </c>
      <c r="C7" t="s">
        <v>19</v>
      </c>
      <c r="D7" t="s">
        <v>13</v>
      </c>
      <c r="E7" s="2">
        <v>45</v>
      </c>
      <c r="F7" t="s">
        <v>11</v>
      </c>
      <c r="G7" s="2">
        <v>1</v>
      </c>
      <c r="H7" s="3">
        <v>30</v>
      </c>
      <c r="I7" s="3">
        <v>30</v>
      </c>
      <c r="J7" s="2" t="str">
        <f t="shared" si="0"/>
        <v>45–54</v>
      </c>
      <c r="K7" t="str" cm="1">
        <f t="array" ref="K7">_xlfn.IFS(
  OR(MONTH(B7)=12, MONTH(B7)=1, MONTH(B7)=2), "Winter",
  OR(MONTH(B7)=3, MONTH(B7)=4, MONTH(B7)=5), "Spring",
  OR(MONTH(B7)=6, MONTH(B7)=7, MONTH(B7)=8), "Summer",
  OR(MONTH(B7)=9, MONTH(B7)=10, MONTH(B7)=11), "Fall"
)</f>
        <v>Spring</v>
      </c>
    </row>
    <row r="8" spans="1:11">
      <c r="A8">
        <v>7</v>
      </c>
      <c r="B8" s="1">
        <v>44998</v>
      </c>
      <c r="C8" t="s">
        <v>20</v>
      </c>
      <c r="D8" t="s">
        <v>10</v>
      </c>
      <c r="E8" s="2">
        <v>46</v>
      </c>
      <c r="F8" t="s">
        <v>14</v>
      </c>
      <c r="G8" s="2">
        <v>2</v>
      </c>
      <c r="H8" s="3">
        <v>25</v>
      </c>
      <c r="I8" s="3">
        <v>50</v>
      </c>
      <c r="J8" s="2" t="str">
        <f t="shared" si="0"/>
        <v>45–54</v>
      </c>
      <c r="K8" t="str" cm="1">
        <f t="array" ref="K8">_xlfn.IFS(
  OR(MONTH(B8)=12, MONTH(B8)=1, MONTH(B8)=2), "Winter",
  OR(MONTH(B8)=3, MONTH(B8)=4, MONTH(B8)=5), "Spring",
  OR(MONTH(B8)=6, MONTH(B8)=7, MONTH(B8)=8), "Summer",
  OR(MONTH(B8)=9, MONTH(B8)=10, MONTH(B8)=11), "Fall"
)</f>
        <v>Spring</v>
      </c>
    </row>
    <row r="9" spans="1:11">
      <c r="A9">
        <v>8</v>
      </c>
      <c r="B9" s="1">
        <v>44979</v>
      </c>
      <c r="C9" t="s">
        <v>21</v>
      </c>
      <c r="D9" t="s">
        <v>10</v>
      </c>
      <c r="E9" s="2">
        <v>30</v>
      </c>
      <c r="F9" t="s">
        <v>16</v>
      </c>
      <c r="G9" s="2">
        <v>4</v>
      </c>
      <c r="H9" s="3">
        <v>25</v>
      </c>
      <c r="I9" s="3">
        <v>100</v>
      </c>
      <c r="J9" s="2" t="str">
        <f t="shared" si="0"/>
        <v>25–34</v>
      </c>
      <c r="K9" t="str" cm="1">
        <f t="array" ref="K9">_xlfn.IFS(
  OR(MONTH(B9)=12, MONTH(B9)=1, MONTH(B9)=2), "Winter",
  OR(MONTH(B9)=3, MONTH(B9)=4, MONTH(B9)=5), "Spring",
  OR(MONTH(B9)=6, MONTH(B9)=7, MONTH(B9)=8), "Summer",
  OR(MONTH(B9)=9, MONTH(B9)=10, MONTH(B9)=11), "Fall"
)</f>
        <v>Winter</v>
      </c>
    </row>
    <row r="10" spans="1:11">
      <c r="A10">
        <v>9</v>
      </c>
      <c r="B10" s="1">
        <v>45273</v>
      </c>
      <c r="C10" t="s">
        <v>22</v>
      </c>
      <c r="D10" t="s">
        <v>10</v>
      </c>
      <c r="E10" s="2">
        <v>63</v>
      </c>
      <c r="F10" t="s">
        <v>16</v>
      </c>
      <c r="G10" s="2">
        <v>2</v>
      </c>
      <c r="H10" s="3">
        <v>300</v>
      </c>
      <c r="I10" s="3">
        <v>600</v>
      </c>
      <c r="J10" s="2" t="str">
        <f t="shared" si="0"/>
        <v>55–64</v>
      </c>
      <c r="K10" t="str" cm="1">
        <f t="array" ref="K10">_xlfn.IFS(
  OR(MONTH(B10)=12, MONTH(B10)=1, MONTH(B10)=2), "Winter",
  OR(MONTH(B10)=3, MONTH(B10)=4, MONTH(B10)=5), "Spring",
  OR(MONTH(B10)=6, MONTH(B10)=7, MONTH(B10)=8), "Summer",
  OR(MONTH(B10)=9, MONTH(B10)=10, MONTH(B10)=11), "Fall"
)</f>
        <v>Winter</v>
      </c>
    </row>
    <row r="11" spans="1:11">
      <c r="A11">
        <v>10</v>
      </c>
      <c r="B11" s="1">
        <v>45206</v>
      </c>
      <c r="C11" t="s">
        <v>23</v>
      </c>
      <c r="D11" t="s">
        <v>13</v>
      </c>
      <c r="E11" s="2">
        <v>52</v>
      </c>
      <c r="F11" t="s">
        <v>14</v>
      </c>
      <c r="G11" s="2">
        <v>4</v>
      </c>
      <c r="H11" s="3">
        <v>50</v>
      </c>
      <c r="I11" s="3">
        <v>200</v>
      </c>
      <c r="J11" s="2" t="str">
        <f t="shared" si="0"/>
        <v>45–54</v>
      </c>
      <c r="K11" t="str" cm="1">
        <f t="array" ref="K11">_xlfn.IFS(
  OR(MONTH(B11)=12, MONTH(B11)=1, MONTH(B11)=2), "Winter",
  OR(MONTH(B11)=3, MONTH(B11)=4, MONTH(B11)=5), "Spring",
  OR(MONTH(B11)=6, MONTH(B11)=7, MONTH(B11)=8), "Summer",
  OR(MONTH(B11)=9, MONTH(B11)=10, MONTH(B11)=11), "Fall"
)</f>
        <v>Fall</v>
      </c>
    </row>
    <row r="12" spans="1:11">
      <c r="A12">
        <v>11</v>
      </c>
      <c r="B12" s="1">
        <v>44971</v>
      </c>
      <c r="C12" t="s">
        <v>24</v>
      </c>
      <c r="D12" t="s">
        <v>10</v>
      </c>
      <c r="E12" s="2">
        <v>23</v>
      </c>
      <c r="F12" t="s">
        <v>14</v>
      </c>
      <c r="G12" s="2">
        <v>2</v>
      </c>
      <c r="H12" s="3">
        <v>50</v>
      </c>
      <c r="I12" s="3">
        <v>100</v>
      </c>
      <c r="J12" s="2" t="str">
        <f t="shared" si="0"/>
        <v>18–24</v>
      </c>
      <c r="K12" t="str" cm="1">
        <f t="array" ref="K12">_xlfn.IFS(
  OR(MONTH(B12)=12, MONTH(B12)=1, MONTH(B12)=2), "Winter",
  OR(MONTH(B12)=3, MONTH(B12)=4, MONTH(B12)=5), "Spring",
  OR(MONTH(B12)=6, MONTH(B12)=7, MONTH(B12)=8), "Summer",
  OR(MONTH(B12)=9, MONTH(B12)=10, MONTH(B12)=11), "Fall"
)</f>
        <v>Winter</v>
      </c>
    </row>
    <row r="13" spans="1:11">
      <c r="A13">
        <v>12</v>
      </c>
      <c r="B13" s="1">
        <v>45229</v>
      </c>
      <c r="C13" t="s">
        <v>25</v>
      </c>
      <c r="D13" t="s">
        <v>10</v>
      </c>
      <c r="E13" s="2">
        <v>35</v>
      </c>
      <c r="F13" t="s">
        <v>11</v>
      </c>
      <c r="G13" s="2">
        <v>3</v>
      </c>
      <c r="H13" s="3">
        <v>25</v>
      </c>
      <c r="I13" s="3">
        <v>75</v>
      </c>
      <c r="J13" s="2" t="str">
        <f t="shared" si="0"/>
        <v>35–44</v>
      </c>
      <c r="K13" t="str" cm="1">
        <f t="array" ref="K13">_xlfn.IFS(
  OR(MONTH(B13)=12, MONTH(B13)=1, MONTH(B13)=2), "Winter",
  OR(MONTH(B13)=3, MONTH(B13)=4, MONTH(B13)=5), "Spring",
  OR(MONTH(B13)=6, MONTH(B13)=7, MONTH(B13)=8), "Summer",
  OR(MONTH(B13)=9, MONTH(B13)=10, MONTH(B13)=11), "Fall"
)</f>
        <v>Fall</v>
      </c>
    </row>
    <row r="14" spans="1:11">
      <c r="A14">
        <v>13</v>
      </c>
      <c r="B14" s="1">
        <v>45143</v>
      </c>
      <c r="C14" t="s">
        <v>26</v>
      </c>
      <c r="D14" t="s">
        <v>10</v>
      </c>
      <c r="E14" s="2">
        <v>22</v>
      </c>
      <c r="F14" t="s">
        <v>16</v>
      </c>
      <c r="G14" s="2">
        <v>3</v>
      </c>
      <c r="H14" s="3">
        <v>500</v>
      </c>
      <c r="I14" s="3">
        <v>1500</v>
      </c>
      <c r="J14" s="2" t="str">
        <f t="shared" si="0"/>
        <v>18–24</v>
      </c>
      <c r="K14" t="str" cm="1">
        <f t="array" ref="K14">_xlfn.IFS(
  OR(MONTH(B14)=12, MONTH(B14)=1, MONTH(B14)=2), "Winter",
  OR(MONTH(B14)=3, MONTH(B14)=4, MONTH(B14)=5), "Spring",
  OR(MONTH(B14)=6, MONTH(B14)=7, MONTH(B14)=8), "Summer",
  OR(MONTH(B14)=9, MONTH(B14)=10, MONTH(B14)=11), "Fall"
)</f>
        <v>Summer</v>
      </c>
    </row>
    <row r="15" spans="1:11">
      <c r="A15">
        <v>14</v>
      </c>
      <c r="B15" s="1">
        <v>44943</v>
      </c>
      <c r="C15" t="s">
        <v>27</v>
      </c>
      <c r="D15" t="s">
        <v>10</v>
      </c>
      <c r="E15" s="2">
        <v>64</v>
      </c>
      <c r="F15" t="s">
        <v>14</v>
      </c>
      <c r="G15" s="2">
        <v>4</v>
      </c>
      <c r="H15" s="3">
        <v>30</v>
      </c>
      <c r="I15" s="3">
        <v>120</v>
      </c>
      <c r="J15" s="2" t="str">
        <f t="shared" si="0"/>
        <v>55–64</v>
      </c>
      <c r="K15" t="str" cm="1">
        <f t="array" ref="K15">_xlfn.IFS(
  OR(MONTH(B15)=12, MONTH(B15)=1, MONTH(B15)=2), "Winter",
  OR(MONTH(B15)=3, MONTH(B15)=4, MONTH(B15)=5), "Spring",
  OR(MONTH(B15)=6, MONTH(B15)=7, MONTH(B15)=8), "Summer",
  OR(MONTH(B15)=9, MONTH(B15)=10, MONTH(B15)=11), "Fall"
)</f>
        <v>Winter</v>
      </c>
    </row>
    <row r="16" spans="1:11">
      <c r="A16">
        <v>15</v>
      </c>
      <c r="B16" s="1">
        <v>44942</v>
      </c>
      <c r="C16" t="s">
        <v>28</v>
      </c>
      <c r="D16" t="s">
        <v>13</v>
      </c>
      <c r="E16" s="2">
        <v>42</v>
      </c>
      <c r="F16" t="s">
        <v>16</v>
      </c>
      <c r="G16" s="2">
        <v>4</v>
      </c>
      <c r="H16" s="3">
        <v>500</v>
      </c>
      <c r="I16" s="3">
        <v>2000</v>
      </c>
      <c r="J16" s="2" t="str">
        <f t="shared" si="0"/>
        <v>35–44</v>
      </c>
      <c r="K16" t="str" cm="1">
        <f t="array" ref="K16">_xlfn.IFS(
  OR(MONTH(B16)=12, MONTH(B16)=1, MONTH(B16)=2), "Winter",
  OR(MONTH(B16)=3, MONTH(B16)=4, MONTH(B16)=5), "Spring",
  OR(MONTH(B16)=6, MONTH(B16)=7, MONTH(B16)=8), "Summer",
  OR(MONTH(B16)=9, MONTH(B16)=10, MONTH(B16)=11), "Fall"
)</f>
        <v>Winter</v>
      </c>
    </row>
    <row r="17" spans="1:11">
      <c r="A17">
        <v>16</v>
      </c>
      <c r="B17" s="1">
        <v>44974</v>
      </c>
      <c r="C17" t="s">
        <v>29</v>
      </c>
      <c r="D17" t="s">
        <v>10</v>
      </c>
      <c r="E17" s="2">
        <v>19</v>
      </c>
      <c r="F17" t="s">
        <v>14</v>
      </c>
      <c r="G17" s="2">
        <v>3</v>
      </c>
      <c r="H17" s="3">
        <v>500</v>
      </c>
      <c r="I17" s="3">
        <v>1500</v>
      </c>
      <c r="J17" s="2" t="str">
        <f t="shared" si="0"/>
        <v>18–24</v>
      </c>
      <c r="K17" t="str" cm="1">
        <f t="array" ref="K17">_xlfn.IFS(
  OR(MONTH(B17)=12, MONTH(B17)=1, MONTH(B17)=2), "Winter",
  OR(MONTH(B17)=3, MONTH(B17)=4, MONTH(B17)=5), "Spring",
  OR(MONTH(B17)=6, MONTH(B17)=7, MONTH(B17)=8), "Summer",
  OR(MONTH(B17)=9, MONTH(B17)=10, MONTH(B17)=11), "Fall"
)</f>
        <v>Winter</v>
      </c>
    </row>
    <row r="18" spans="1:11">
      <c r="A18">
        <v>17</v>
      </c>
      <c r="B18" s="1">
        <v>45038</v>
      </c>
      <c r="C18" t="s">
        <v>30</v>
      </c>
      <c r="D18" t="s">
        <v>13</v>
      </c>
      <c r="E18" s="2">
        <v>27</v>
      </c>
      <c r="F18" t="s">
        <v>14</v>
      </c>
      <c r="G18" s="2">
        <v>4</v>
      </c>
      <c r="H18" s="3">
        <v>25</v>
      </c>
      <c r="I18" s="3">
        <v>100</v>
      </c>
      <c r="J18" s="2" t="str">
        <f t="shared" si="0"/>
        <v>25–34</v>
      </c>
      <c r="K18" t="str" cm="1">
        <f t="array" ref="K18">_xlfn.IFS(
  OR(MONTH(B18)=12, MONTH(B18)=1, MONTH(B18)=2), "Winter",
  OR(MONTH(B18)=3, MONTH(B18)=4, MONTH(B18)=5), "Spring",
  OR(MONTH(B18)=6, MONTH(B18)=7, MONTH(B18)=8), "Summer",
  OR(MONTH(B18)=9, MONTH(B18)=10, MONTH(B18)=11), "Fall"
)</f>
        <v>Spring</v>
      </c>
    </row>
    <row r="19" spans="1:11">
      <c r="A19">
        <v>18</v>
      </c>
      <c r="B19" s="1">
        <v>45046</v>
      </c>
      <c r="C19" t="s">
        <v>31</v>
      </c>
      <c r="D19" t="s">
        <v>13</v>
      </c>
      <c r="E19" s="2">
        <v>47</v>
      </c>
      <c r="F19" t="s">
        <v>16</v>
      </c>
      <c r="G19" s="2">
        <v>2</v>
      </c>
      <c r="H19" s="3">
        <v>25</v>
      </c>
      <c r="I19" s="3">
        <v>50</v>
      </c>
      <c r="J19" s="2" t="str">
        <f t="shared" si="0"/>
        <v>45–54</v>
      </c>
      <c r="K19" t="str" cm="1">
        <f t="array" ref="K19">_xlfn.IFS(
  OR(MONTH(B19)=12, MONTH(B19)=1, MONTH(B19)=2), "Winter",
  OR(MONTH(B19)=3, MONTH(B19)=4, MONTH(B19)=5), "Spring",
  OR(MONTH(B19)=6, MONTH(B19)=7, MONTH(B19)=8), "Summer",
  OR(MONTH(B19)=9, MONTH(B19)=10, MONTH(B19)=11), "Fall"
)</f>
        <v>Spring</v>
      </c>
    </row>
    <row r="20" spans="1:11">
      <c r="A20">
        <v>19</v>
      </c>
      <c r="B20" s="1">
        <v>45185</v>
      </c>
      <c r="C20" t="s">
        <v>32</v>
      </c>
      <c r="D20" t="s">
        <v>13</v>
      </c>
      <c r="E20" s="2">
        <v>62</v>
      </c>
      <c r="F20" t="s">
        <v>14</v>
      </c>
      <c r="G20" s="2">
        <v>2</v>
      </c>
      <c r="H20" s="3">
        <v>25</v>
      </c>
      <c r="I20" s="3">
        <v>50</v>
      </c>
      <c r="J20" s="2" t="str">
        <f t="shared" si="0"/>
        <v>55–64</v>
      </c>
      <c r="K20" t="str" cm="1">
        <f t="array" ref="K20">_xlfn.IFS(
  OR(MONTH(B20)=12, MONTH(B20)=1, MONTH(B20)=2), "Winter",
  OR(MONTH(B20)=3, MONTH(B20)=4, MONTH(B20)=5), "Spring",
  OR(MONTH(B20)=6, MONTH(B20)=7, MONTH(B20)=8), "Summer",
  OR(MONTH(B20)=9, MONTH(B20)=10, MONTH(B20)=11), "Fall"
)</f>
        <v>Fall</v>
      </c>
    </row>
    <row r="21" spans="1:11">
      <c r="A21">
        <v>20</v>
      </c>
      <c r="B21" s="1">
        <v>45235</v>
      </c>
      <c r="C21" t="s">
        <v>33</v>
      </c>
      <c r="D21" t="s">
        <v>10</v>
      </c>
      <c r="E21" s="2">
        <v>22</v>
      </c>
      <c r="F21" t="s">
        <v>14</v>
      </c>
      <c r="G21" s="2">
        <v>3</v>
      </c>
      <c r="H21" s="3">
        <v>300</v>
      </c>
      <c r="I21" s="3">
        <v>900</v>
      </c>
      <c r="J21" s="2" t="str">
        <f t="shared" si="0"/>
        <v>18–24</v>
      </c>
      <c r="K21" t="str" cm="1">
        <f t="array" ref="K21">_xlfn.IFS(
  OR(MONTH(B21)=12, MONTH(B21)=1, MONTH(B21)=2), "Winter",
  OR(MONTH(B21)=3, MONTH(B21)=4, MONTH(B21)=5), "Spring",
  OR(MONTH(B21)=6, MONTH(B21)=7, MONTH(B21)=8), "Summer",
  OR(MONTH(B21)=9, MONTH(B21)=10, MONTH(B21)=11), "Fall"
)</f>
        <v>Fall</v>
      </c>
    </row>
    <row r="22" spans="1:11">
      <c r="A22">
        <v>21</v>
      </c>
      <c r="B22" s="1">
        <v>44940</v>
      </c>
      <c r="C22" t="s">
        <v>34</v>
      </c>
      <c r="D22" t="s">
        <v>13</v>
      </c>
      <c r="E22" s="2">
        <v>50</v>
      </c>
      <c r="F22" t="s">
        <v>11</v>
      </c>
      <c r="G22" s="2">
        <v>1</v>
      </c>
      <c r="H22" s="3">
        <v>500</v>
      </c>
      <c r="I22" s="3">
        <v>500</v>
      </c>
      <c r="J22" s="2" t="str">
        <f t="shared" si="0"/>
        <v>45–54</v>
      </c>
      <c r="K22" t="str" cm="1">
        <f t="array" ref="K22">_xlfn.IFS(
  OR(MONTH(B22)=12, MONTH(B22)=1, MONTH(B22)=2), "Winter",
  OR(MONTH(B22)=3, MONTH(B22)=4, MONTH(B22)=5), "Spring",
  OR(MONTH(B22)=6, MONTH(B22)=7, MONTH(B22)=8), "Summer",
  OR(MONTH(B22)=9, MONTH(B22)=10, MONTH(B22)=11), "Fall"
)</f>
        <v>Winter</v>
      </c>
    </row>
    <row r="23" spans="1:11">
      <c r="A23">
        <v>22</v>
      </c>
      <c r="B23" s="1">
        <v>45214</v>
      </c>
      <c r="C23" t="s">
        <v>35</v>
      </c>
      <c r="D23" t="s">
        <v>10</v>
      </c>
      <c r="E23" s="2">
        <v>18</v>
      </c>
      <c r="F23" t="s">
        <v>14</v>
      </c>
      <c r="G23" s="2">
        <v>2</v>
      </c>
      <c r="H23" s="3">
        <v>50</v>
      </c>
      <c r="I23" s="3">
        <v>100</v>
      </c>
      <c r="J23" s="2" t="str">
        <f t="shared" si="0"/>
        <v>18–24</v>
      </c>
      <c r="K23" t="str" cm="1">
        <f t="array" ref="K23">_xlfn.IFS(
  OR(MONTH(B23)=12, MONTH(B23)=1, MONTH(B23)=2), "Winter",
  OR(MONTH(B23)=3, MONTH(B23)=4, MONTH(B23)=5), "Spring",
  OR(MONTH(B23)=6, MONTH(B23)=7, MONTH(B23)=8), "Summer",
  OR(MONTH(B23)=9, MONTH(B23)=10, MONTH(B23)=11), "Fall"
)</f>
        <v>Fall</v>
      </c>
    </row>
    <row r="24" spans="1:11">
      <c r="A24">
        <v>23</v>
      </c>
      <c r="B24" s="1">
        <v>45028</v>
      </c>
      <c r="C24" t="s">
        <v>36</v>
      </c>
      <c r="D24" t="s">
        <v>13</v>
      </c>
      <c r="E24" s="2">
        <v>35</v>
      </c>
      <c r="F24" t="s">
        <v>14</v>
      </c>
      <c r="G24" s="2">
        <v>4</v>
      </c>
      <c r="H24" s="3">
        <v>30</v>
      </c>
      <c r="I24" s="3">
        <v>120</v>
      </c>
      <c r="J24" s="2" t="str">
        <f t="shared" si="0"/>
        <v>35–44</v>
      </c>
      <c r="K24" t="str" cm="1">
        <f t="array" ref="K24">_xlfn.IFS(
  OR(MONTH(B24)=12, MONTH(B24)=1, MONTH(B24)=2), "Winter",
  OR(MONTH(B24)=3, MONTH(B24)=4, MONTH(B24)=5), "Spring",
  OR(MONTH(B24)=6, MONTH(B24)=7, MONTH(B24)=8), "Summer",
  OR(MONTH(B24)=9, MONTH(B24)=10, MONTH(B24)=11), "Fall"
)</f>
        <v>Spring</v>
      </c>
    </row>
    <row r="25" spans="1:11">
      <c r="A25">
        <v>24</v>
      </c>
      <c r="B25" s="1">
        <v>45259</v>
      </c>
      <c r="C25" t="s">
        <v>37</v>
      </c>
      <c r="D25" t="s">
        <v>13</v>
      </c>
      <c r="E25" s="2">
        <v>49</v>
      </c>
      <c r="F25" t="s">
        <v>14</v>
      </c>
      <c r="G25" s="2">
        <v>1</v>
      </c>
      <c r="H25" s="3">
        <v>300</v>
      </c>
      <c r="I25" s="3">
        <v>300</v>
      </c>
      <c r="J25" s="2" t="str">
        <f t="shared" si="0"/>
        <v>45–54</v>
      </c>
      <c r="K25" t="str" cm="1">
        <f t="array" ref="K25">_xlfn.IFS(
  OR(MONTH(B25)=12, MONTH(B25)=1, MONTH(B25)=2), "Winter",
  OR(MONTH(B25)=3, MONTH(B25)=4, MONTH(B25)=5), "Spring",
  OR(MONTH(B25)=6, MONTH(B25)=7, MONTH(B25)=8), "Summer",
  OR(MONTH(B25)=9, MONTH(B25)=10, MONTH(B25)=11), "Fall"
)</f>
        <v>Fall</v>
      </c>
    </row>
    <row r="26" spans="1:11">
      <c r="A26">
        <v>25</v>
      </c>
      <c r="B26" s="1">
        <v>45286</v>
      </c>
      <c r="C26" t="s">
        <v>38</v>
      </c>
      <c r="D26" t="s">
        <v>13</v>
      </c>
      <c r="E26" s="2">
        <v>64</v>
      </c>
      <c r="F26" t="s">
        <v>11</v>
      </c>
      <c r="G26" s="2">
        <v>1</v>
      </c>
      <c r="H26" s="3">
        <v>50</v>
      </c>
      <c r="I26" s="3">
        <v>50</v>
      </c>
      <c r="J26" s="2" t="str">
        <f t="shared" si="0"/>
        <v>55–64</v>
      </c>
      <c r="K26" t="str" cm="1">
        <f t="array" ref="K26">_xlfn.IFS(
  OR(MONTH(B26)=12, MONTH(B26)=1, MONTH(B26)=2), "Winter",
  OR(MONTH(B26)=3, MONTH(B26)=4, MONTH(B26)=5), "Spring",
  OR(MONTH(B26)=6, MONTH(B26)=7, MONTH(B26)=8), "Summer",
  OR(MONTH(B26)=9, MONTH(B26)=10, MONTH(B26)=11), "Fall"
)</f>
        <v>Winter</v>
      </c>
    </row>
    <row r="27" spans="1:11">
      <c r="A27">
        <v>26</v>
      </c>
      <c r="B27" s="1">
        <v>45206</v>
      </c>
      <c r="C27" t="s">
        <v>39</v>
      </c>
      <c r="D27" t="s">
        <v>13</v>
      </c>
      <c r="E27" s="2">
        <v>28</v>
      </c>
      <c r="F27" t="s">
        <v>16</v>
      </c>
      <c r="G27" s="2">
        <v>2</v>
      </c>
      <c r="H27" s="3">
        <v>500</v>
      </c>
      <c r="I27" s="3">
        <v>1000</v>
      </c>
      <c r="J27" s="2" t="str">
        <f t="shared" si="0"/>
        <v>25–34</v>
      </c>
      <c r="K27" t="str" cm="1">
        <f t="array" ref="K27">_xlfn.IFS(
  OR(MONTH(B27)=12, MONTH(B27)=1, MONTH(B27)=2), "Winter",
  OR(MONTH(B27)=3, MONTH(B27)=4, MONTH(B27)=5), "Spring",
  OR(MONTH(B27)=6, MONTH(B27)=7, MONTH(B27)=8), "Summer",
  OR(MONTH(B27)=9, MONTH(B27)=10, MONTH(B27)=11), "Fall"
)</f>
        <v>Fall</v>
      </c>
    </row>
    <row r="28" spans="1:11">
      <c r="A28">
        <v>27</v>
      </c>
      <c r="B28" s="1">
        <v>45141</v>
      </c>
      <c r="C28" t="s">
        <v>40</v>
      </c>
      <c r="D28" t="s">
        <v>13</v>
      </c>
      <c r="E28" s="2">
        <v>38</v>
      </c>
      <c r="F28" t="s">
        <v>11</v>
      </c>
      <c r="G28" s="2">
        <v>2</v>
      </c>
      <c r="H28" s="3">
        <v>25</v>
      </c>
      <c r="I28" s="3">
        <v>50</v>
      </c>
      <c r="J28" s="2" t="str">
        <f t="shared" si="0"/>
        <v>35–44</v>
      </c>
      <c r="K28" t="str" cm="1">
        <f t="array" ref="K28">_xlfn.IFS(
  OR(MONTH(B28)=12, MONTH(B28)=1, MONTH(B28)=2), "Winter",
  OR(MONTH(B28)=3, MONTH(B28)=4, MONTH(B28)=5), "Spring",
  OR(MONTH(B28)=6, MONTH(B28)=7, MONTH(B28)=8), "Summer",
  OR(MONTH(B28)=9, MONTH(B28)=10, MONTH(B28)=11), "Fall"
)</f>
        <v>Summer</v>
      </c>
    </row>
    <row r="29" spans="1:11">
      <c r="A29">
        <v>28</v>
      </c>
      <c r="B29" s="1">
        <v>45039</v>
      </c>
      <c r="C29" t="s">
        <v>41</v>
      </c>
      <c r="D29" t="s">
        <v>13</v>
      </c>
      <c r="E29" s="2">
        <v>43</v>
      </c>
      <c r="F29" t="s">
        <v>11</v>
      </c>
      <c r="G29" s="2">
        <v>1</v>
      </c>
      <c r="H29" s="3">
        <v>500</v>
      </c>
      <c r="I29" s="3">
        <v>500</v>
      </c>
      <c r="J29" s="2" t="str">
        <f t="shared" si="0"/>
        <v>35–44</v>
      </c>
      <c r="K29" t="str" cm="1">
        <f t="array" ref="K29">_xlfn.IFS(
  OR(MONTH(B29)=12, MONTH(B29)=1, MONTH(B29)=2), "Winter",
  OR(MONTH(B29)=3, MONTH(B29)=4, MONTH(B29)=5), "Spring",
  OR(MONTH(B29)=6, MONTH(B29)=7, MONTH(B29)=8), "Summer",
  OR(MONTH(B29)=9, MONTH(B29)=10, MONTH(B29)=11), "Fall"
)</f>
        <v>Spring</v>
      </c>
    </row>
    <row r="30" spans="1:11">
      <c r="A30">
        <v>29</v>
      </c>
      <c r="B30" s="1">
        <v>45156</v>
      </c>
      <c r="C30" t="s">
        <v>42</v>
      </c>
      <c r="D30" t="s">
        <v>13</v>
      </c>
      <c r="E30" s="2">
        <v>42</v>
      </c>
      <c r="F30" t="s">
        <v>16</v>
      </c>
      <c r="G30" s="2">
        <v>1</v>
      </c>
      <c r="H30" s="3">
        <v>30</v>
      </c>
      <c r="I30" s="3">
        <v>30</v>
      </c>
      <c r="J30" s="2" t="str">
        <f t="shared" si="0"/>
        <v>35–44</v>
      </c>
      <c r="K30" t="str" cm="1">
        <f t="array" ref="K30">_xlfn.IFS(
  OR(MONTH(B30)=12, MONTH(B30)=1, MONTH(B30)=2), "Winter",
  OR(MONTH(B30)=3, MONTH(B30)=4, MONTH(B30)=5), "Spring",
  OR(MONTH(B30)=6, MONTH(B30)=7, MONTH(B30)=8), "Summer",
  OR(MONTH(B30)=9, MONTH(B30)=10, MONTH(B30)=11), "Fall"
)</f>
        <v>Summer</v>
      </c>
    </row>
    <row r="31" spans="1:11">
      <c r="A31">
        <v>30</v>
      </c>
      <c r="B31" s="1">
        <v>45228</v>
      </c>
      <c r="C31" t="s">
        <v>43</v>
      </c>
      <c r="D31" t="s">
        <v>13</v>
      </c>
      <c r="E31" s="2">
        <v>39</v>
      </c>
      <c r="F31" t="s">
        <v>11</v>
      </c>
      <c r="G31" s="2">
        <v>3</v>
      </c>
      <c r="H31" s="3">
        <v>300</v>
      </c>
      <c r="I31" s="3">
        <v>900</v>
      </c>
      <c r="J31" s="2" t="str">
        <f t="shared" si="0"/>
        <v>35–44</v>
      </c>
      <c r="K31" t="str" cm="1">
        <f t="array" ref="K31">_xlfn.IFS(
  OR(MONTH(B31)=12, MONTH(B31)=1, MONTH(B31)=2), "Winter",
  OR(MONTH(B31)=3, MONTH(B31)=4, MONTH(B31)=5), "Spring",
  OR(MONTH(B31)=6, MONTH(B31)=7, MONTH(B31)=8), "Summer",
  OR(MONTH(B31)=9, MONTH(B31)=10, MONTH(B31)=11), "Fall"
)</f>
        <v>Fall</v>
      </c>
    </row>
    <row r="32" spans="1:11">
      <c r="A32">
        <v>31</v>
      </c>
      <c r="B32" s="1">
        <v>45069</v>
      </c>
      <c r="C32" t="s">
        <v>44</v>
      </c>
      <c r="D32" t="s">
        <v>10</v>
      </c>
      <c r="E32" s="2">
        <v>44</v>
      </c>
      <c r="F32" t="s">
        <v>16</v>
      </c>
      <c r="G32" s="2">
        <v>4</v>
      </c>
      <c r="H32" s="3">
        <v>300</v>
      </c>
      <c r="I32" s="3">
        <v>1200</v>
      </c>
      <c r="J32" s="2" t="str">
        <f t="shared" si="0"/>
        <v>35–44</v>
      </c>
      <c r="K32" t="str" cm="1">
        <f t="array" ref="K32">_xlfn.IFS(
  OR(MONTH(B32)=12, MONTH(B32)=1, MONTH(B32)=2), "Winter",
  OR(MONTH(B32)=3, MONTH(B32)=4, MONTH(B32)=5), "Spring",
  OR(MONTH(B32)=6, MONTH(B32)=7, MONTH(B32)=8), "Summer",
  OR(MONTH(B32)=9, MONTH(B32)=10, MONTH(B32)=11), "Fall"
)</f>
        <v>Spring</v>
      </c>
    </row>
    <row r="33" spans="1:11">
      <c r="A33">
        <v>32</v>
      </c>
      <c r="B33" s="1">
        <v>44930</v>
      </c>
      <c r="C33" t="s">
        <v>45</v>
      </c>
      <c r="D33" t="s">
        <v>10</v>
      </c>
      <c r="E33" s="2">
        <v>30</v>
      </c>
      <c r="F33" t="s">
        <v>11</v>
      </c>
      <c r="G33" s="2">
        <v>3</v>
      </c>
      <c r="H33" s="3">
        <v>30</v>
      </c>
      <c r="I33" s="3">
        <v>90</v>
      </c>
      <c r="J33" s="2" t="str">
        <f t="shared" si="0"/>
        <v>25–34</v>
      </c>
      <c r="K33" t="str" cm="1">
        <f t="array" ref="K33">_xlfn.IFS(
  OR(MONTH(B33)=12, MONTH(B33)=1, MONTH(B33)=2), "Winter",
  OR(MONTH(B33)=3, MONTH(B33)=4, MONTH(B33)=5), "Spring",
  OR(MONTH(B33)=6, MONTH(B33)=7, MONTH(B33)=8), "Summer",
  OR(MONTH(B33)=9, MONTH(B33)=10, MONTH(B33)=11), "Fall"
)</f>
        <v>Winter</v>
      </c>
    </row>
    <row r="34" spans="1:11">
      <c r="A34">
        <v>33</v>
      </c>
      <c r="B34" s="1">
        <v>45008</v>
      </c>
      <c r="C34" t="s">
        <v>46</v>
      </c>
      <c r="D34" t="s">
        <v>13</v>
      </c>
      <c r="E34" s="2">
        <v>50</v>
      </c>
      <c r="F34" t="s">
        <v>16</v>
      </c>
      <c r="G34" s="2">
        <v>2</v>
      </c>
      <c r="H34" s="3">
        <v>50</v>
      </c>
      <c r="I34" s="3">
        <v>100</v>
      </c>
      <c r="J34" s="2" t="str">
        <f t="shared" si="0"/>
        <v>45–54</v>
      </c>
      <c r="K34" t="str" cm="1">
        <f t="array" ref="K34">_xlfn.IFS(
  OR(MONTH(B34)=12, MONTH(B34)=1, MONTH(B34)=2), "Winter",
  OR(MONTH(B34)=3, MONTH(B34)=4, MONTH(B34)=5), "Spring",
  OR(MONTH(B34)=6, MONTH(B34)=7, MONTH(B34)=8), "Summer",
  OR(MONTH(B34)=9, MONTH(B34)=10, MONTH(B34)=11), "Fall"
)</f>
        <v>Spring</v>
      </c>
    </row>
    <row r="35" spans="1:11">
      <c r="A35">
        <v>34</v>
      </c>
      <c r="B35" s="1">
        <v>45284</v>
      </c>
      <c r="C35" t="s">
        <v>47</v>
      </c>
      <c r="D35" t="s">
        <v>13</v>
      </c>
      <c r="E35" s="2">
        <v>51</v>
      </c>
      <c r="F35" t="s">
        <v>14</v>
      </c>
      <c r="G35" s="2">
        <v>3</v>
      </c>
      <c r="H35" s="3">
        <v>50</v>
      </c>
      <c r="I35" s="3">
        <v>150</v>
      </c>
      <c r="J35" s="2" t="str">
        <f t="shared" si="0"/>
        <v>45–54</v>
      </c>
      <c r="K35" t="str" cm="1">
        <f t="array" ref="K35">_xlfn.IFS(
  OR(MONTH(B35)=12, MONTH(B35)=1, MONTH(B35)=2), "Winter",
  OR(MONTH(B35)=3, MONTH(B35)=4, MONTH(B35)=5), "Spring",
  OR(MONTH(B35)=6, MONTH(B35)=7, MONTH(B35)=8), "Summer",
  OR(MONTH(B35)=9, MONTH(B35)=10, MONTH(B35)=11), "Fall"
)</f>
        <v>Winter</v>
      </c>
    </row>
    <row r="36" spans="1:11">
      <c r="A36">
        <v>35</v>
      </c>
      <c r="B36" s="1">
        <v>45143</v>
      </c>
      <c r="C36" t="s">
        <v>48</v>
      </c>
      <c r="D36" t="s">
        <v>13</v>
      </c>
      <c r="E36" s="2">
        <v>58</v>
      </c>
      <c r="F36" t="s">
        <v>11</v>
      </c>
      <c r="G36" s="2">
        <v>3</v>
      </c>
      <c r="H36" s="3">
        <v>300</v>
      </c>
      <c r="I36" s="3">
        <v>900</v>
      </c>
      <c r="J36" s="2" t="str">
        <f t="shared" si="0"/>
        <v>55–64</v>
      </c>
      <c r="K36" t="str" cm="1">
        <f t="array" ref="K36">_xlfn.IFS(
  OR(MONTH(B36)=12, MONTH(B36)=1, MONTH(B36)=2), "Winter",
  OR(MONTH(B36)=3, MONTH(B36)=4, MONTH(B36)=5), "Spring",
  OR(MONTH(B36)=6, MONTH(B36)=7, MONTH(B36)=8), "Summer",
  OR(MONTH(B36)=9, MONTH(B36)=10, MONTH(B36)=11), "Fall"
)</f>
        <v>Summer</v>
      </c>
    </row>
    <row r="37" spans="1:11">
      <c r="A37">
        <v>36</v>
      </c>
      <c r="B37" s="1">
        <v>45101</v>
      </c>
      <c r="C37" t="s">
        <v>49</v>
      </c>
      <c r="D37" t="s">
        <v>10</v>
      </c>
      <c r="E37" s="2">
        <v>52</v>
      </c>
      <c r="F37" t="s">
        <v>11</v>
      </c>
      <c r="G37" s="2">
        <v>3</v>
      </c>
      <c r="H37" s="3">
        <v>300</v>
      </c>
      <c r="I37" s="3">
        <v>900</v>
      </c>
      <c r="J37" s="2" t="str">
        <f t="shared" si="0"/>
        <v>45–54</v>
      </c>
      <c r="K37" t="str" cm="1">
        <f t="array" ref="K37">_xlfn.IFS(
  OR(MONTH(B37)=12, MONTH(B37)=1, MONTH(B37)=2), "Winter",
  OR(MONTH(B37)=3, MONTH(B37)=4, MONTH(B37)=5), "Spring",
  OR(MONTH(B37)=6, MONTH(B37)=7, MONTH(B37)=8), "Summer",
  OR(MONTH(B37)=9, MONTH(B37)=10, MONTH(B37)=11), "Fall"
)</f>
        <v>Summer</v>
      </c>
    </row>
    <row r="38" spans="1:11">
      <c r="A38">
        <v>37</v>
      </c>
      <c r="B38" s="1">
        <v>45069</v>
      </c>
      <c r="C38" t="s">
        <v>50</v>
      </c>
      <c r="D38" t="s">
        <v>13</v>
      </c>
      <c r="E38" s="2">
        <v>18</v>
      </c>
      <c r="F38" t="s">
        <v>11</v>
      </c>
      <c r="G38" s="2">
        <v>3</v>
      </c>
      <c r="H38" s="3">
        <v>25</v>
      </c>
      <c r="I38" s="3">
        <v>75</v>
      </c>
      <c r="J38" s="2" t="str">
        <f t="shared" si="0"/>
        <v>18–24</v>
      </c>
      <c r="K38" t="str" cm="1">
        <f t="array" ref="K38">_xlfn.IFS(
  OR(MONTH(B38)=12, MONTH(B38)=1, MONTH(B38)=2), "Winter",
  OR(MONTH(B38)=3, MONTH(B38)=4, MONTH(B38)=5), "Spring",
  OR(MONTH(B38)=6, MONTH(B38)=7, MONTH(B38)=8), "Summer",
  OR(MONTH(B38)=9, MONTH(B38)=10, MONTH(B38)=11), "Fall"
)</f>
        <v>Spring</v>
      </c>
    </row>
    <row r="39" spans="1:11">
      <c r="A39">
        <v>38</v>
      </c>
      <c r="B39" s="1">
        <v>45006</v>
      </c>
      <c r="C39" t="s">
        <v>51</v>
      </c>
      <c r="D39" t="s">
        <v>10</v>
      </c>
      <c r="E39" s="2">
        <v>38</v>
      </c>
      <c r="F39" t="s">
        <v>11</v>
      </c>
      <c r="G39" s="2">
        <v>4</v>
      </c>
      <c r="H39" s="3">
        <v>50</v>
      </c>
      <c r="I39" s="3">
        <v>200</v>
      </c>
      <c r="J39" s="2" t="str">
        <f t="shared" si="0"/>
        <v>35–44</v>
      </c>
      <c r="K39" t="str" cm="1">
        <f t="array" ref="K39">_xlfn.IFS(
  OR(MONTH(B39)=12, MONTH(B39)=1, MONTH(B39)=2), "Winter",
  OR(MONTH(B39)=3, MONTH(B39)=4, MONTH(B39)=5), "Spring",
  OR(MONTH(B39)=6, MONTH(B39)=7, MONTH(B39)=8), "Summer",
  OR(MONTH(B39)=9, MONTH(B39)=10, MONTH(B39)=11), "Fall"
)</f>
        <v>Spring</v>
      </c>
    </row>
    <row r="40" spans="1:11">
      <c r="A40">
        <v>39</v>
      </c>
      <c r="B40" s="1">
        <v>45037</v>
      </c>
      <c r="C40" t="s">
        <v>52</v>
      </c>
      <c r="D40" t="s">
        <v>10</v>
      </c>
      <c r="E40" s="2">
        <v>23</v>
      </c>
      <c r="F40" t="s">
        <v>14</v>
      </c>
      <c r="G40" s="2">
        <v>4</v>
      </c>
      <c r="H40" s="3">
        <v>30</v>
      </c>
      <c r="I40" s="3">
        <v>120</v>
      </c>
      <c r="J40" s="2" t="str">
        <f t="shared" si="0"/>
        <v>18–24</v>
      </c>
      <c r="K40" t="str" cm="1">
        <f t="array" ref="K40">_xlfn.IFS(
  OR(MONTH(B40)=12, MONTH(B40)=1, MONTH(B40)=2), "Winter",
  OR(MONTH(B40)=3, MONTH(B40)=4, MONTH(B40)=5), "Spring",
  OR(MONTH(B40)=6, MONTH(B40)=7, MONTH(B40)=8), "Summer",
  OR(MONTH(B40)=9, MONTH(B40)=10, MONTH(B40)=11), "Fall"
)</f>
        <v>Spring</v>
      </c>
    </row>
    <row r="41" spans="1:11">
      <c r="A41">
        <v>40</v>
      </c>
      <c r="B41" s="1">
        <v>45099</v>
      </c>
      <c r="C41" t="s">
        <v>53</v>
      </c>
      <c r="D41" t="s">
        <v>10</v>
      </c>
      <c r="E41" s="2">
        <v>45</v>
      </c>
      <c r="F41" t="s">
        <v>11</v>
      </c>
      <c r="G41" s="2">
        <v>1</v>
      </c>
      <c r="H41" s="3">
        <v>50</v>
      </c>
      <c r="I41" s="3">
        <v>50</v>
      </c>
      <c r="J41" s="2" t="str">
        <f t="shared" si="0"/>
        <v>45–54</v>
      </c>
      <c r="K41" t="str" cm="1">
        <f t="array" ref="K41">_xlfn.IFS(
  OR(MONTH(B41)=12, MONTH(B41)=1, MONTH(B41)=2), "Winter",
  OR(MONTH(B41)=3, MONTH(B41)=4, MONTH(B41)=5), "Spring",
  OR(MONTH(B41)=6, MONTH(B41)=7, MONTH(B41)=8), "Summer",
  OR(MONTH(B41)=9, MONTH(B41)=10, MONTH(B41)=11), "Fall"
)</f>
        <v>Summer</v>
      </c>
    </row>
    <row r="42" spans="1:11">
      <c r="A42">
        <v>41</v>
      </c>
      <c r="B42" s="1">
        <v>44979</v>
      </c>
      <c r="C42" t="s">
        <v>54</v>
      </c>
      <c r="D42" t="s">
        <v>10</v>
      </c>
      <c r="E42" s="2">
        <v>34</v>
      </c>
      <c r="F42" t="s">
        <v>14</v>
      </c>
      <c r="G42" s="2">
        <v>2</v>
      </c>
      <c r="H42" s="3">
        <v>25</v>
      </c>
      <c r="I42" s="3">
        <v>50</v>
      </c>
      <c r="J42" s="2" t="str">
        <f t="shared" si="0"/>
        <v>25–34</v>
      </c>
      <c r="K42" t="str" cm="1">
        <f t="array" ref="K42">_xlfn.IFS(
  OR(MONTH(B42)=12, MONTH(B42)=1, MONTH(B42)=2), "Winter",
  OR(MONTH(B42)=3, MONTH(B42)=4, MONTH(B42)=5), "Spring",
  OR(MONTH(B42)=6, MONTH(B42)=7, MONTH(B42)=8), "Summer",
  OR(MONTH(B42)=9, MONTH(B42)=10, MONTH(B42)=11), "Fall"
)</f>
        <v>Winter</v>
      </c>
    </row>
    <row r="43" spans="1:11">
      <c r="A43">
        <v>42</v>
      </c>
      <c r="B43" s="1">
        <v>44974</v>
      </c>
      <c r="C43" t="s">
        <v>55</v>
      </c>
      <c r="D43" t="s">
        <v>10</v>
      </c>
      <c r="E43" s="2">
        <v>22</v>
      </c>
      <c r="F43" t="s">
        <v>14</v>
      </c>
      <c r="G43" s="2">
        <v>3</v>
      </c>
      <c r="H43" s="3">
        <v>300</v>
      </c>
      <c r="I43" s="3">
        <v>900</v>
      </c>
      <c r="J43" s="2" t="str">
        <f t="shared" si="0"/>
        <v>18–24</v>
      </c>
      <c r="K43" t="str" cm="1">
        <f t="array" ref="K43">_xlfn.IFS(
  OR(MONTH(B43)=12, MONTH(B43)=1, MONTH(B43)=2), "Winter",
  OR(MONTH(B43)=3, MONTH(B43)=4, MONTH(B43)=5), "Spring",
  OR(MONTH(B43)=6, MONTH(B43)=7, MONTH(B43)=8), "Summer",
  OR(MONTH(B43)=9, MONTH(B43)=10, MONTH(B43)=11), "Fall"
)</f>
        <v>Winter</v>
      </c>
    </row>
    <row r="44" spans="1:11">
      <c r="A44">
        <v>43</v>
      </c>
      <c r="B44" s="1">
        <v>45121</v>
      </c>
      <c r="C44" t="s">
        <v>56</v>
      </c>
      <c r="D44" t="s">
        <v>13</v>
      </c>
      <c r="E44" s="2">
        <v>48</v>
      </c>
      <c r="F44" t="s">
        <v>14</v>
      </c>
      <c r="G44" s="2">
        <v>1</v>
      </c>
      <c r="H44" s="3">
        <v>300</v>
      </c>
      <c r="I44" s="3">
        <v>300</v>
      </c>
      <c r="J44" s="2" t="str">
        <f t="shared" si="0"/>
        <v>45–54</v>
      </c>
      <c r="K44" t="str" cm="1">
        <f t="array" ref="K44">_xlfn.IFS(
  OR(MONTH(B44)=12, MONTH(B44)=1, MONTH(B44)=2), "Winter",
  OR(MONTH(B44)=3, MONTH(B44)=4, MONTH(B44)=5), "Spring",
  OR(MONTH(B44)=6, MONTH(B44)=7, MONTH(B44)=8), "Summer",
  OR(MONTH(B44)=9, MONTH(B44)=10, MONTH(B44)=11), "Fall"
)</f>
        <v>Summer</v>
      </c>
    </row>
    <row r="45" spans="1:11">
      <c r="A45">
        <v>44</v>
      </c>
      <c r="B45" s="1">
        <v>44976</v>
      </c>
      <c r="C45" t="s">
        <v>57</v>
      </c>
      <c r="D45" t="s">
        <v>13</v>
      </c>
      <c r="E45" s="2">
        <v>22</v>
      </c>
      <c r="F45" t="s">
        <v>14</v>
      </c>
      <c r="G45" s="2">
        <v>1</v>
      </c>
      <c r="H45" s="3">
        <v>25</v>
      </c>
      <c r="I45" s="3">
        <v>25</v>
      </c>
      <c r="J45" s="2" t="str">
        <f t="shared" si="0"/>
        <v>18–24</v>
      </c>
      <c r="K45" t="str" cm="1">
        <f t="array" ref="K45">_xlfn.IFS(
  OR(MONTH(B45)=12, MONTH(B45)=1, MONTH(B45)=2), "Winter",
  OR(MONTH(B45)=3, MONTH(B45)=4, MONTH(B45)=5), "Spring",
  OR(MONTH(B45)=6, MONTH(B45)=7, MONTH(B45)=8), "Summer",
  OR(MONTH(B45)=9, MONTH(B45)=10, MONTH(B45)=11), "Fall"
)</f>
        <v>Winter</v>
      </c>
    </row>
    <row r="46" spans="1:11">
      <c r="A46">
        <v>45</v>
      </c>
      <c r="B46" s="1">
        <v>45110</v>
      </c>
      <c r="C46" t="s">
        <v>58</v>
      </c>
      <c r="D46" t="s">
        <v>13</v>
      </c>
      <c r="E46" s="2">
        <v>55</v>
      </c>
      <c r="F46" t="s">
        <v>16</v>
      </c>
      <c r="G46" s="2">
        <v>1</v>
      </c>
      <c r="H46" s="3">
        <v>30</v>
      </c>
      <c r="I46" s="3">
        <v>30</v>
      </c>
      <c r="J46" s="2" t="str">
        <f t="shared" si="0"/>
        <v>55–64</v>
      </c>
      <c r="K46" t="str" cm="1">
        <f t="array" ref="K46">_xlfn.IFS(
  OR(MONTH(B46)=12, MONTH(B46)=1, MONTH(B46)=2), "Winter",
  OR(MONTH(B46)=3, MONTH(B46)=4, MONTH(B46)=5), "Spring",
  OR(MONTH(B46)=6, MONTH(B46)=7, MONTH(B46)=8), "Summer",
  OR(MONTH(B46)=9, MONTH(B46)=10, MONTH(B46)=11), "Fall"
)</f>
        <v>Summer</v>
      </c>
    </row>
    <row r="47" spans="1:11">
      <c r="A47">
        <v>46</v>
      </c>
      <c r="B47" s="1">
        <v>45103</v>
      </c>
      <c r="C47" t="s">
        <v>59</v>
      </c>
      <c r="D47" t="s">
        <v>13</v>
      </c>
      <c r="E47" s="2">
        <v>20</v>
      </c>
      <c r="F47" t="s">
        <v>16</v>
      </c>
      <c r="G47" s="2">
        <v>4</v>
      </c>
      <c r="H47" s="3">
        <v>300</v>
      </c>
      <c r="I47" s="3">
        <v>1200</v>
      </c>
      <c r="J47" s="2" t="str">
        <f t="shared" si="0"/>
        <v>18–24</v>
      </c>
      <c r="K47" t="str" cm="1">
        <f t="array" ref="K47">_xlfn.IFS(
  OR(MONTH(B47)=12, MONTH(B47)=1, MONTH(B47)=2), "Winter",
  OR(MONTH(B47)=3, MONTH(B47)=4, MONTH(B47)=5), "Spring",
  OR(MONTH(B47)=6, MONTH(B47)=7, MONTH(B47)=8), "Summer",
  OR(MONTH(B47)=9, MONTH(B47)=10, MONTH(B47)=11), "Fall"
)</f>
        <v>Summer</v>
      </c>
    </row>
    <row r="48" spans="1:11">
      <c r="A48">
        <v>47</v>
      </c>
      <c r="B48" s="1">
        <v>45236</v>
      </c>
      <c r="C48" t="s">
        <v>60</v>
      </c>
      <c r="D48" t="s">
        <v>13</v>
      </c>
      <c r="E48" s="2">
        <v>40</v>
      </c>
      <c r="F48" t="s">
        <v>11</v>
      </c>
      <c r="G48" s="2">
        <v>3</v>
      </c>
      <c r="H48" s="3">
        <v>500</v>
      </c>
      <c r="I48" s="3">
        <v>1500</v>
      </c>
      <c r="J48" s="2" t="str">
        <f t="shared" si="0"/>
        <v>35–44</v>
      </c>
      <c r="K48" t="str" cm="1">
        <f t="array" ref="K48">_xlfn.IFS(
  OR(MONTH(B48)=12, MONTH(B48)=1, MONTH(B48)=2), "Winter",
  OR(MONTH(B48)=3, MONTH(B48)=4, MONTH(B48)=5), "Spring",
  OR(MONTH(B48)=6, MONTH(B48)=7, MONTH(B48)=8), "Summer",
  OR(MONTH(B48)=9, MONTH(B48)=10, MONTH(B48)=11), "Fall"
)</f>
        <v>Fall</v>
      </c>
    </row>
    <row r="49" spans="1:11">
      <c r="A49">
        <v>48</v>
      </c>
      <c r="B49" s="1">
        <v>45062</v>
      </c>
      <c r="C49" t="s">
        <v>61</v>
      </c>
      <c r="D49" t="s">
        <v>10</v>
      </c>
      <c r="E49" s="2">
        <v>54</v>
      </c>
      <c r="F49" t="s">
        <v>16</v>
      </c>
      <c r="G49" s="2">
        <v>3</v>
      </c>
      <c r="H49" s="3">
        <v>300</v>
      </c>
      <c r="I49" s="3">
        <v>900</v>
      </c>
      <c r="J49" s="2" t="str">
        <f t="shared" si="0"/>
        <v>45–54</v>
      </c>
      <c r="K49" t="str" cm="1">
        <f t="array" ref="K49">_xlfn.IFS(
  OR(MONTH(B49)=12, MONTH(B49)=1, MONTH(B49)=2), "Winter",
  OR(MONTH(B49)=3, MONTH(B49)=4, MONTH(B49)=5), "Spring",
  OR(MONTH(B49)=6, MONTH(B49)=7, MONTH(B49)=8), "Summer",
  OR(MONTH(B49)=9, MONTH(B49)=10, MONTH(B49)=11), "Fall"
)</f>
        <v>Spring</v>
      </c>
    </row>
    <row r="50" spans="1:11">
      <c r="A50">
        <v>49</v>
      </c>
      <c r="B50" s="1">
        <v>44949</v>
      </c>
      <c r="C50" t="s">
        <v>62</v>
      </c>
      <c r="D50" t="s">
        <v>13</v>
      </c>
      <c r="E50" s="2">
        <v>54</v>
      </c>
      <c r="F50" t="s">
        <v>16</v>
      </c>
      <c r="G50" s="2">
        <v>2</v>
      </c>
      <c r="H50" s="3">
        <v>500</v>
      </c>
      <c r="I50" s="3">
        <v>1000</v>
      </c>
      <c r="J50" s="2" t="str">
        <f t="shared" si="0"/>
        <v>45–54</v>
      </c>
      <c r="K50" t="str" cm="1">
        <f t="array" ref="K50">_xlfn.IFS(
  OR(MONTH(B50)=12, MONTH(B50)=1, MONTH(B50)=2), "Winter",
  OR(MONTH(B50)=3, MONTH(B50)=4, MONTH(B50)=5), "Spring",
  OR(MONTH(B50)=6, MONTH(B50)=7, MONTH(B50)=8), "Summer",
  OR(MONTH(B50)=9, MONTH(B50)=10, MONTH(B50)=11), "Fall"
)</f>
        <v>Winter</v>
      </c>
    </row>
    <row r="51" spans="1:11">
      <c r="A51">
        <v>50</v>
      </c>
      <c r="B51" s="1">
        <v>45162</v>
      </c>
      <c r="C51" t="s">
        <v>63</v>
      </c>
      <c r="D51" t="s">
        <v>13</v>
      </c>
      <c r="E51" s="2">
        <v>27</v>
      </c>
      <c r="F51" t="s">
        <v>11</v>
      </c>
      <c r="G51" s="2">
        <v>3</v>
      </c>
      <c r="H51" s="3">
        <v>25</v>
      </c>
      <c r="I51" s="3">
        <v>75</v>
      </c>
      <c r="J51" s="2" t="str">
        <f t="shared" si="0"/>
        <v>25–34</v>
      </c>
      <c r="K51" t="str" cm="1">
        <f t="array" ref="K51">_xlfn.IFS(
  OR(MONTH(B51)=12, MONTH(B51)=1, MONTH(B51)=2), "Winter",
  OR(MONTH(B51)=3, MONTH(B51)=4, MONTH(B51)=5), "Spring",
  OR(MONTH(B51)=6, MONTH(B51)=7, MONTH(B51)=8), "Summer",
  OR(MONTH(B51)=9, MONTH(B51)=10, MONTH(B51)=11), "Fall"
)</f>
        <v>Summer</v>
      </c>
    </row>
    <row r="52" spans="1:11">
      <c r="A52">
        <v>51</v>
      </c>
      <c r="B52" s="1">
        <v>45201</v>
      </c>
      <c r="C52" t="s">
        <v>64</v>
      </c>
      <c r="D52" t="s">
        <v>10</v>
      </c>
      <c r="E52" s="2">
        <v>27</v>
      </c>
      <c r="F52" t="s">
        <v>11</v>
      </c>
      <c r="G52" s="2">
        <v>3</v>
      </c>
      <c r="H52" s="3">
        <v>25</v>
      </c>
      <c r="I52" s="3">
        <v>75</v>
      </c>
      <c r="J52" s="2" t="str">
        <f t="shared" si="0"/>
        <v>25–34</v>
      </c>
      <c r="K52" t="str" cm="1">
        <f t="array" ref="K52">_xlfn.IFS(
  OR(MONTH(B52)=12, MONTH(B52)=1, MONTH(B52)=2), "Winter",
  OR(MONTH(B52)=3, MONTH(B52)=4, MONTH(B52)=5), "Spring",
  OR(MONTH(B52)=6, MONTH(B52)=7, MONTH(B52)=8), "Summer",
  OR(MONTH(B52)=9, MONTH(B52)=10, MONTH(B52)=11), "Fall"
)</f>
        <v>Fall</v>
      </c>
    </row>
    <row r="53" spans="1:11">
      <c r="A53">
        <v>52</v>
      </c>
      <c r="B53" s="1">
        <v>44990</v>
      </c>
      <c r="C53" t="s">
        <v>65</v>
      </c>
      <c r="D53" t="s">
        <v>13</v>
      </c>
      <c r="E53" s="2">
        <v>36</v>
      </c>
      <c r="F53" t="s">
        <v>11</v>
      </c>
      <c r="G53" s="2">
        <v>1</v>
      </c>
      <c r="H53" s="3">
        <v>300</v>
      </c>
      <c r="I53" s="3">
        <v>300</v>
      </c>
      <c r="J53" s="2" t="str">
        <f t="shared" si="0"/>
        <v>35–44</v>
      </c>
      <c r="K53" t="str" cm="1">
        <f t="array" ref="K53">_xlfn.IFS(
  OR(MONTH(B53)=12, MONTH(B53)=1, MONTH(B53)=2), "Winter",
  OR(MONTH(B53)=3, MONTH(B53)=4, MONTH(B53)=5), "Spring",
  OR(MONTH(B53)=6, MONTH(B53)=7, MONTH(B53)=8), "Summer",
  OR(MONTH(B53)=9, MONTH(B53)=10, MONTH(B53)=11), "Fall"
)</f>
        <v>Spring</v>
      </c>
    </row>
    <row r="54" spans="1:11">
      <c r="A54">
        <v>53</v>
      </c>
      <c r="B54" s="1">
        <v>45120</v>
      </c>
      <c r="C54" t="s">
        <v>66</v>
      </c>
      <c r="D54" t="s">
        <v>10</v>
      </c>
      <c r="E54" s="2">
        <v>34</v>
      </c>
      <c r="F54" t="s">
        <v>16</v>
      </c>
      <c r="G54" s="2">
        <v>2</v>
      </c>
      <c r="H54" s="3">
        <v>50</v>
      </c>
      <c r="I54" s="3">
        <v>100</v>
      </c>
      <c r="J54" s="2" t="str">
        <f t="shared" si="0"/>
        <v>25–34</v>
      </c>
      <c r="K54" t="str" cm="1">
        <f t="array" ref="K54">_xlfn.IFS(
  OR(MONTH(B54)=12, MONTH(B54)=1, MONTH(B54)=2), "Winter",
  OR(MONTH(B54)=3, MONTH(B54)=4, MONTH(B54)=5), "Spring",
  OR(MONTH(B54)=6, MONTH(B54)=7, MONTH(B54)=8), "Summer",
  OR(MONTH(B54)=9, MONTH(B54)=10, MONTH(B54)=11), "Fall"
)</f>
        <v>Summer</v>
      </c>
    </row>
    <row r="55" spans="1:11">
      <c r="A55">
        <v>54</v>
      </c>
      <c r="B55" s="1">
        <v>44967</v>
      </c>
      <c r="C55" t="s">
        <v>67</v>
      </c>
      <c r="D55" t="s">
        <v>13</v>
      </c>
      <c r="E55" s="2">
        <v>38</v>
      </c>
      <c r="F55" t="s">
        <v>16</v>
      </c>
      <c r="G55" s="2">
        <v>3</v>
      </c>
      <c r="H55" s="3">
        <v>500</v>
      </c>
      <c r="I55" s="3">
        <v>1500</v>
      </c>
      <c r="J55" s="2" t="str">
        <f t="shared" si="0"/>
        <v>35–44</v>
      </c>
      <c r="K55" t="str" cm="1">
        <f t="array" ref="K55">_xlfn.IFS(
  OR(MONTH(B55)=12, MONTH(B55)=1, MONTH(B55)=2), "Winter",
  OR(MONTH(B55)=3, MONTH(B55)=4, MONTH(B55)=5), "Spring",
  OR(MONTH(B55)=6, MONTH(B55)=7, MONTH(B55)=8), "Summer",
  OR(MONTH(B55)=9, MONTH(B55)=10, MONTH(B55)=11), "Fall"
)</f>
        <v>Winter</v>
      </c>
    </row>
    <row r="56" spans="1:11">
      <c r="A56">
        <v>55</v>
      </c>
      <c r="B56" s="1">
        <v>45209</v>
      </c>
      <c r="C56" t="s">
        <v>68</v>
      </c>
      <c r="D56" t="s">
        <v>10</v>
      </c>
      <c r="E56" s="2">
        <v>31</v>
      </c>
      <c r="F56" t="s">
        <v>11</v>
      </c>
      <c r="G56" s="2">
        <v>4</v>
      </c>
      <c r="H56" s="3">
        <v>30</v>
      </c>
      <c r="I56" s="3">
        <v>120</v>
      </c>
      <c r="J56" s="2" t="str">
        <f t="shared" si="0"/>
        <v>25–34</v>
      </c>
      <c r="K56" t="str" cm="1">
        <f t="array" ref="K56">_xlfn.IFS(
  OR(MONTH(B56)=12, MONTH(B56)=1, MONTH(B56)=2), "Winter",
  OR(MONTH(B56)=3, MONTH(B56)=4, MONTH(B56)=5), "Spring",
  OR(MONTH(B56)=6, MONTH(B56)=7, MONTH(B56)=8), "Summer",
  OR(MONTH(B56)=9, MONTH(B56)=10, MONTH(B56)=11), "Fall"
)</f>
        <v>Fall</v>
      </c>
    </row>
    <row r="57" spans="1:11">
      <c r="A57">
        <v>56</v>
      </c>
      <c r="B57" s="1">
        <v>45077</v>
      </c>
      <c r="C57" t="s">
        <v>69</v>
      </c>
      <c r="D57" t="s">
        <v>13</v>
      </c>
      <c r="E57" s="2">
        <v>26</v>
      </c>
      <c r="F57" t="s">
        <v>14</v>
      </c>
      <c r="G57" s="2">
        <v>3</v>
      </c>
      <c r="H57" s="3">
        <v>300</v>
      </c>
      <c r="I57" s="3">
        <v>900</v>
      </c>
      <c r="J57" s="2" t="str">
        <f t="shared" si="0"/>
        <v>25–34</v>
      </c>
      <c r="K57" t="str" cm="1">
        <f t="array" ref="K57">_xlfn.IFS(
  OR(MONTH(B57)=12, MONTH(B57)=1, MONTH(B57)=2), "Winter",
  OR(MONTH(B57)=3, MONTH(B57)=4, MONTH(B57)=5), "Spring",
  OR(MONTH(B57)=6, MONTH(B57)=7, MONTH(B57)=8), "Summer",
  OR(MONTH(B57)=9, MONTH(B57)=10, MONTH(B57)=11), "Fall"
)</f>
        <v>Spring</v>
      </c>
    </row>
    <row r="58" spans="1:11">
      <c r="A58">
        <v>57</v>
      </c>
      <c r="B58" s="1">
        <v>45248</v>
      </c>
      <c r="C58" t="s">
        <v>70</v>
      </c>
      <c r="D58" t="s">
        <v>13</v>
      </c>
      <c r="E58" s="2">
        <v>63</v>
      </c>
      <c r="F58" t="s">
        <v>11</v>
      </c>
      <c r="G58" s="2">
        <v>1</v>
      </c>
      <c r="H58" s="3">
        <v>30</v>
      </c>
      <c r="I58" s="3">
        <v>30</v>
      </c>
      <c r="J58" s="2" t="str">
        <f t="shared" si="0"/>
        <v>55–64</v>
      </c>
      <c r="K58" t="str" cm="1">
        <f t="array" ref="K58">_xlfn.IFS(
  OR(MONTH(B58)=12, MONTH(B58)=1, MONTH(B58)=2), "Winter",
  OR(MONTH(B58)=3, MONTH(B58)=4, MONTH(B58)=5), "Spring",
  OR(MONTH(B58)=6, MONTH(B58)=7, MONTH(B58)=8), "Summer",
  OR(MONTH(B58)=9, MONTH(B58)=10, MONTH(B58)=11), "Fall"
)</f>
        <v>Fall</v>
      </c>
    </row>
    <row r="59" spans="1:11">
      <c r="A59">
        <v>58</v>
      </c>
      <c r="B59" s="1">
        <v>45243</v>
      </c>
      <c r="C59" t="s">
        <v>71</v>
      </c>
      <c r="D59" t="s">
        <v>10</v>
      </c>
      <c r="E59" s="2">
        <v>18</v>
      </c>
      <c r="F59" t="s">
        <v>14</v>
      </c>
      <c r="G59" s="2">
        <v>4</v>
      </c>
      <c r="H59" s="3">
        <v>300</v>
      </c>
      <c r="I59" s="3">
        <v>1200</v>
      </c>
      <c r="J59" s="2" t="str">
        <f t="shared" si="0"/>
        <v>18–24</v>
      </c>
      <c r="K59" t="str" cm="1">
        <f t="array" ref="K59">_xlfn.IFS(
  OR(MONTH(B59)=12, MONTH(B59)=1, MONTH(B59)=2), "Winter",
  OR(MONTH(B59)=3, MONTH(B59)=4, MONTH(B59)=5), "Spring",
  OR(MONTH(B59)=6, MONTH(B59)=7, MONTH(B59)=8), "Summer",
  OR(MONTH(B59)=9, MONTH(B59)=10, MONTH(B59)=11), "Fall"
)</f>
        <v>Fall</v>
      </c>
    </row>
    <row r="60" spans="1:11">
      <c r="A60">
        <v>59</v>
      </c>
      <c r="B60" s="1">
        <v>45112</v>
      </c>
      <c r="C60" t="s">
        <v>72</v>
      </c>
      <c r="D60" t="s">
        <v>10</v>
      </c>
      <c r="E60" s="2">
        <v>62</v>
      </c>
      <c r="F60" t="s">
        <v>14</v>
      </c>
      <c r="G60" s="2">
        <v>1</v>
      </c>
      <c r="H60" s="3">
        <v>50</v>
      </c>
      <c r="I60" s="3">
        <v>50</v>
      </c>
      <c r="J60" s="2" t="str">
        <f t="shared" si="0"/>
        <v>55–64</v>
      </c>
      <c r="K60" t="str" cm="1">
        <f t="array" ref="K60">_xlfn.IFS(
  OR(MONTH(B60)=12, MONTH(B60)=1, MONTH(B60)=2), "Winter",
  OR(MONTH(B60)=3, MONTH(B60)=4, MONTH(B60)=5), "Spring",
  OR(MONTH(B60)=6, MONTH(B60)=7, MONTH(B60)=8), "Summer",
  OR(MONTH(B60)=9, MONTH(B60)=10, MONTH(B60)=11), "Fall"
)</f>
        <v>Summer</v>
      </c>
    </row>
    <row r="61" spans="1:11">
      <c r="A61">
        <v>60</v>
      </c>
      <c r="B61" s="1">
        <v>45222</v>
      </c>
      <c r="C61" t="s">
        <v>73</v>
      </c>
      <c r="D61" t="s">
        <v>10</v>
      </c>
      <c r="E61" s="2">
        <v>30</v>
      </c>
      <c r="F61" t="s">
        <v>11</v>
      </c>
      <c r="G61" s="2">
        <v>3</v>
      </c>
      <c r="H61" s="3">
        <v>50</v>
      </c>
      <c r="I61" s="3">
        <v>150</v>
      </c>
      <c r="J61" s="2" t="str">
        <f t="shared" si="0"/>
        <v>25–34</v>
      </c>
      <c r="K61" t="str" cm="1">
        <f t="array" ref="K61">_xlfn.IFS(
  OR(MONTH(B61)=12, MONTH(B61)=1, MONTH(B61)=2), "Winter",
  OR(MONTH(B61)=3, MONTH(B61)=4, MONTH(B61)=5), "Spring",
  OR(MONTH(B61)=6, MONTH(B61)=7, MONTH(B61)=8), "Summer",
  OR(MONTH(B61)=9, MONTH(B61)=10, MONTH(B61)=11), "Fall"
)</f>
        <v>Fall</v>
      </c>
    </row>
    <row r="62" spans="1:11">
      <c r="A62">
        <v>61</v>
      </c>
      <c r="B62" s="1">
        <v>45025</v>
      </c>
      <c r="C62" t="s">
        <v>74</v>
      </c>
      <c r="D62" t="s">
        <v>10</v>
      </c>
      <c r="E62" s="2">
        <v>21</v>
      </c>
      <c r="F62" t="s">
        <v>11</v>
      </c>
      <c r="G62" s="2">
        <v>4</v>
      </c>
      <c r="H62" s="3">
        <v>50</v>
      </c>
      <c r="I62" s="3">
        <v>200</v>
      </c>
      <c r="J62" s="2" t="str">
        <f t="shared" si="0"/>
        <v>18–24</v>
      </c>
      <c r="K62" t="str" cm="1">
        <f t="array" ref="K62">_xlfn.IFS(
  OR(MONTH(B62)=12, MONTH(B62)=1, MONTH(B62)=2), "Winter",
  OR(MONTH(B62)=3, MONTH(B62)=4, MONTH(B62)=5), "Spring",
  OR(MONTH(B62)=6, MONTH(B62)=7, MONTH(B62)=8), "Summer",
  OR(MONTH(B62)=9, MONTH(B62)=10, MONTH(B62)=11), "Fall"
)</f>
        <v>Spring</v>
      </c>
    </row>
    <row r="63" spans="1:11">
      <c r="A63">
        <v>62</v>
      </c>
      <c r="B63" s="1">
        <v>45287</v>
      </c>
      <c r="C63" t="s">
        <v>75</v>
      </c>
      <c r="D63" t="s">
        <v>10</v>
      </c>
      <c r="E63" s="2">
        <v>18</v>
      </c>
      <c r="F63" t="s">
        <v>11</v>
      </c>
      <c r="G63" s="2">
        <v>2</v>
      </c>
      <c r="H63" s="3">
        <v>50</v>
      </c>
      <c r="I63" s="3">
        <v>100</v>
      </c>
      <c r="J63" s="2" t="str">
        <f t="shared" si="0"/>
        <v>18–24</v>
      </c>
      <c r="K63" t="str" cm="1">
        <f t="array" ref="K63">_xlfn.IFS(
  OR(MONTH(B63)=12, MONTH(B63)=1, MONTH(B63)=2), "Winter",
  OR(MONTH(B63)=3, MONTH(B63)=4, MONTH(B63)=5), "Spring",
  OR(MONTH(B63)=6, MONTH(B63)=7, MONTH(B63)=8), "Summer",
  OR(MONTH(B63)=9, MONTH(B63)=10, MONTH(B63)=11), "Fall"
)</f>
        <v>Winter</v>
      </c>
    </row>
    <row r="64" spans="1:11">
      <c r="A64">
        <v>63</v>
      </c>
      <c r="B64" s="1">
        <v>44962</v>
      </c>
      <c r="C64" t="s">
        <v>76</v>
      </c>
      <c r="D64" t="s">
        <v>10</v>
      </c>
      <c r="E64" s="2">
        <v>57</v>
      </c>
      <c r="F64" t="s">
        <v>16</v>
      </c>
      <c r="G64" s="2">
        <v>2</v>
      </c>
      <c r="H64" s="3">
        <v>25</v>
      </c>
      <c r="I64" s="3">
        <v>50</v>
      </c>
      <c r="J64" s="2" t="str">
        <f t="shared" si="0"/>
        <v>55–64</v>
      </c>
      <c r="K64" t="str" cm="1">
        <f t="array" ref="K64">_xlfn.IFS(
  OR(MONTH(B64)=12, MONTH(B64)=1, MONTH(B64)=2), "Winter",
  OR(MONTH(B64)=3, MONTH(B64)=4, MONTH(B64)=5), "Spring",
  OR(MONTH(B64)=6, MONTH(B64)=7, MONTH(B64)=8), "Summer",
  OR(MONTH(B64)=9, MONTH(B64)=10, MONTH(B64)=11), "Fall"
)</f>
        <v>Winter</v>
      </c>
    </row>
    <row r="65" spans="1:11">
      <c r="A65">
        <v>64</v>
      </c>
      <c r="B65" s="1">
        <v>44950</v>
      </c>
      <c r="C65" t="s">
        <v>77</v>
      </c>
      <c r="D65" t="s">
        <v>10</v>
      </c>
      <c r="E65" s="2">
        <v>49</v>
      </c>
      <c r="F65" t="s">
        <v>14</v>
      </c>
      <c r="G65" s="2">
        <v>4</v>
      </c>
      <c r="H65" s="3">
        <v>25</v>
      </c>
      <c r="I65" s="3">
        <v>100</v>
      </c>
      <c r="J65" s="2" t="str">
        <f t="shared" si="0"/>
        <v>45–54</v>
      </c>
      <c r="K65" t="str" cm="1">
        <f t="array" ref="K65">_xlfn.IFS(
  OR(MONTH(B65)=12, MONTH(B65)=1, MONTH(B65)=2), "Winter",
  OR(MONTH(B65)=3, MONTH(B65)=4, MONTH(B65)=5), "Spring",
  OR(MONTH(B65)=6, MONTH(B65)=7, MONTH(B65)=8), "Summer",
  OR(MONTH(B65)=9, MONTH(B65)=10, MONTH(B65)=11), "Fall"
)</f>
        <v>Winter</v>
      </c>
    </row>
    <row r="66" spans="1:11">
      <c r="A66">
        <v>65</v>
      </c>
      <c r="B66" s="1">
        <v>45265</v>
      </c>
      <c r="C66" t="s">
        <v>78</v>
      </c>
      <c r="D66" t="s">
        <v>10</v>
      </c>
      <c r="E66" s="2">
        <v>51</v>
      </c>
      <c r="F66" t="s">
        <v>16</v>
      </c>
      <c r="G66" s="2">
        <v>4</v>
      </c>
      <c r="H66" s="3">
        <v>500</v>
      </c>
      <c r="I66" s="3">
        <v>2000</v>
      </c>
      <c r="J66" s="2" t="str">
        <f t="shared" ref="J66:J129" si="1">IF(AND(E66&gt;=18, E66&lt;=24), "18–24",
 IF(AND(E66&gt;=25, E66&lt;=34), "25–34",
 IF(AND(E66&gt;=35, E66&lt;=44), "35–44",
 IF(AND(E66&gt;=45, E66&lt;=54), "45–54",
 IF(AND(E66&gt;=55, E66&lt;=64), "55–64", "Other")))))</f>
        <v>45–54</v>
      </c>
      <c r="K66" t="str" cm="1">
        <f t="array" ref="K66">_xlfn.IFS(
  OR(MONTH(B66)=12, MONTH(B66)=1, MONTH(B66)=2), "Winter",
  OR(MONTH(B66)=3, MONTH(B66)=4, MONTH(B66)=5), "Spring",
  OR(MONTH(B66)=6, MONTH(B66)=7, MONTH(B66)=8), "Summer",
  OR(MONTH(B66)=9, MONTH(B66)=10, MONTH(B66)=11), "Fall"
)</f>
        <v>Winter</v>
      </c>
    </row>
    <row r="67" spans="1:11">
      <c r="A67">
        <v>66</v>
      </c>
      <c r="B67" s="1">
        <v>45043</v>
      </c>
      <c r="C67" t="s">
        <v>79</v>
      </c>
      <c r="D67" t="s">
        <v>13</v>
      </c>
      <c r="E67" s="2">
        <v>45</v>
      </c>
      <c r="F67" t="s">
        <v>16</v>
      </c>
      <c r="G67" s="2">
        <v>1</v>
      </c>
      <c r="H67" s="3">
        <v>30</v>
      </c>
      <c r="I67" s="3">
        <v>30</v>
      </c>
      <c r="J67" s="2" t="str">
        <f t="shared" si="1"/>
        <v>45–54</v>
      </c>
      <c r="K67" t="str" cm="1">
        <f t="array" ref="K67">_xlfn.IFS(
  OR(MONTH(B67)=12, MONTH(B67)=1, MONTH(B67)=2), "Winter",
  OR(MONTH(B67)=3, MONTH(B67)=4, MONTH(B67)=5), "Spring",
  OR(MONTH(B67)=6, MONTH(B67)=7, MONTH(B67)=8), "Summer",
  OR(MONTH(B67)=9, MONTH(B67)=10, MONTH(B67)=11), "Fall"
)</f>
        <v>Spring</v>
      </c>
    </row>
    <row r="68" spans="1:11">
      <c r="A68">
        <v>67</v>
      </c>
      <c r="B68" s="1">
        <v>45075</v>
      </c>
      <c r="C68" t="s">
        <v>80</v>
      </c>
      <c r="D68" t="s">
        <v>13</v>
      </c>
      <c r="E68" s="2">
        <v>48</v>
      </c>
      <c r="F68" t="s">
        <v>11</v>
      </c>
      <c r="G68" s="2">
        <v>4</v>
      </c>
      <c r="H68" s="3">
        <v>300</v>
      </c>
      <c r="I68" s="3">
        <v>1200</v>
      </c>
      <c r="J68" s="2" t="str">
        <f t="shared" si="1"/>
        <v>45–54</v>
      </c>
      <c r="K68" t="str" cm="1">
        <f t="array" ref="K68">_xlfn.IFS(
  OR(MONTH(B68)=12, MONTH(B68)=1, MONTH(B68)=2), "Winter",
  OR(MONTH(B68)=3, MONTH(B68)=4, MONTH(B68)=5), "Spring",
  OR(MONTH(B68)=6, MONTH(B68)=7, MONTH(B68)=8), "Summer",
  OR(MONTH(B68)=9, MONTH(B68)=10, MONTH(B68)=11), "Fall"
)</f>
        <v>Spring</v>
      </c>
    </row>
    <row r="69" spans="1:11">
      <c r="A69">
        <v>68</v>
      </c>
      <c r="B69" s="1">
        <v>44967</v>
      </c>
      <c r="C69" t="s">
        <v>81</v>
      </c>
      <c r="D69" t="s">
        <v>10</v>
      </c>
      <c r="E69" s="2">
        <v>25</v>
      </c>
      <c r="F69" t="s">
        <v>16</v>
      </c>
      <c r="G69" s="2">
        <v>1</v>
      </c>
      <c r="H69" s="3">
        <v>300</v>
      </c>
      <c r="I69" s="3">
        <v>300</v>
      </c>
      <c r="J69" s="2" t="str">
        <f t="shared" si="1"/>
        <v>25–34</v>
      </c>
      <c r="K69" t="str" cm="1">
        <f t="array" ref="K69">_xlfn.IFS(
  OR(MONTH(B69)=12, MONTH(B69)=1, MONTH(B69)=2), "Winter",
  OR(MONTH(B69)=3, MONTH(B69)=4, MONTH(B69)=5), "Spring",
  OR(MONTH(B69)=6, MONTH(B69)=7, MONTH(B69)=8), "Summer",
  OR(MONTH(B69)=9, MONTH(B69)=10, MONTH(B69)=11), "Fall"
)</f>
        <v>Winter</v>
      </c>
    </row>
    <row r="70" spans="1:11">
      <c r="A70">
        <v>69</v>
      </c>
      <c r="B70" s="1">
        <v>45046</v>
      </c>
      <c r="C70" t="s">
        <v>82</v>
      </c>
      <c r="D70" t="s">
        <v>13</v>
      </c>
      <c r="E70" s="2">
        <v>56</v>
      </c>
      <c r="F70" t="s">
        <v>11</v>
      </c>
      <c r="G70" s="2">
        <v>3</v>
      </c>
      <c r="H70" s="3">
        <v>25</v>
      </c>
      <c r="I70" s="3">
        <v>75</v>
      </c>
      <c r="J70" s="2" t="str">
        <f t="shared" si="1"/>
        <v>55–64</v>
      </c>
      <c r="K70" t="str" cm="1">
        <f t="array" ref="K70">_xlfn.IFS(
  OR(MONTH(B70)=12, MONTH(B70)=1, MONTH(B70)=2), "Winter",
  OR(MONTH(B70)=3, MONTH(B70)=4, MONTH(B70)=5), "Spring",
  OR(MONTH(B70)=6, MONTH(B70)=7, MONTH(B70)=8), "Summer",
  OR(MONTH(B70)=9, MONTH(B70)=10, MONTH(B70)=11), "Fall"
)</f>
        <v>Spring</v>
      </c>
    </row>
    <row r="71" spans="1:11">
      <c r="A71">
        <v>70</v>
      </c>
      <c r="B71" s="1">
        <v>44978</v>
      </c>
      <c r="C71" t="s">
        <v>83</v>
      </c>
      <c r="D71" t="s">
        <v>13</v>
      </c>
      <c r="E71" s="2">
        <v>43</v>
      </c>
      <c r="F71" t="s">
        <v>14</v>
      </c>
      <c r="G71" s="2">
        <v>1</v>
      </c>
      <c r="H71" s="3">
        <v>300</v>
      </c>
      <c r="I71" s="3">
        <v>300</v>
      </c>
      <c r="J71" s="2" t="str">
        <f t="shared" si="1"/>
        <v>35–44</v>
      </c>
      <c r="K71" t="str" cm="1">
        <f t="array" ref="K71">_xlfn.IFS(
  OR(MONTH(B71)=12, MONTH(B71)=1, MONTH(B71)=2), "Winter",
  OR(MONTH(B71)=3, MONTH(B71)=4, MONTH(B71)=5), "Spring",
  OR(MONTH(B71)=6, MONTH(B71)=7, MONTH(B71)=8), "Summer",
  OR(MONTH(B71)=9, MONTH(B71)=10, MONTH(B71)=11), "Fall"
)</f>
        <v>Winter</v>
      </c>
    </row>
    <row r="72" spans="1:11">
      <c r="A72">
        <v>71</v>
      </c>
      <c r="B72" s="1">
        <v>45121</v>
      </c>
      <c r="C72" t="s">
        <v>84</v>
      </c>
      <c r="D72" t="s">
        <v>13</v>
      </c>
      <c r="E72" s="2">
        <v>51</v>
      </c>
      <c r="F72" t="s">
        <v>11</v>
      </c>
      <c r="G72" s="2">
        <v>4</v>
      </c>
      <c r="H72" s="3">
        <v>25</v>
      </c>
      <c r="I72" s="3">
        <v>100</v>
      </c>
      <c r="J72" s="2" t="str">
        <f t="shared" si="1"/>
        <v>45–54</v>
      </c>
      <c r="K72" t="str" cm="1">
        <f t="array" ref="K72">_xlfn.IFS(
  OR(MONTH(B72)=12, MONTH(B72)=1, MONTH(B72)=2), "Winter",
  OR(MONTH(B72)=3, MONTH(B72)=4, MONTH(B72)=5), "Spring",
  OR(MONTH(B72)=6, MONTH(B72)=7, MONTH(B72)=8), "Summer",
  OR(MONTH(B72)=9, MONTH(B72)=10, MONTH(B72)=11), "Fall"
)</f>
        <v>Summer</v>
      </c>
    </row>
    <row r="73" spans="1:11">
      <c r="A73">
        <v>72</v>
      </c>
      <c r="B73" s="1">
        <v>45069</v>
      </c>
      <c r="C73" t="s">
        <v>85</v>
      </c>
      <c r="D73" t="s">
        <v>13</v>
      </c>
      <c r="E73" s="2">
        <v>20</v>
      </c>
      <c r="F73" t="s">
        <v>16</v>
      </c>
      <c r="G73" s="2">
        <v>4</v>
      </c>
      <c r="H73" s="3">
        <v>500</v>
      </c>
      <c r="I73" s="3">
        <v>2000</v>
      </c>
      <c r="J73" s="2" t="str">
        <f t="shared" si="1"/>
        <v>18–24</v>
      </c>
      <c r="K73" t="str" cm="1">
        <f t="array" ref="K73">_xlfn.IFS(
  OR(MONTH(B73)=12, MONTH(B73)=1, MONTH(B73)=2), "Winter",
  OR(MONTH(B73)=3, MONTH(B73)=4, MONTH(B73)=5), "Spring",
  OR(MONTH(B73)=6, MONTH(B73)=7, MONTH(B73)=8), "Summer",
  OR(MONTH(B73)=9, MONTH(B73)=10, MONTH(B73)=11), "Fall"
)</f>
        <v>Spring</v>
      </c>
    </row>
    <row r="74" spans="1:11">
      <c r="A74">
        <v>73</v>
      </c>
      <c r="B74" s="1">
        <v>45159</v>
      </c>
      <c r="C74" t="s">
        <v>86</v>
      </c>
      <c r="D74" t="s">
        <v>10</v>
      </c>
      <c r="E74" s="2">
        <v>29</v>
      </c>
      <c r="F74" t="s">
        <v>16</v>
      </c>
      <c r="G74" s="2">
        <v>3</v>
      </c>
      <c r="H74" s="3">
        <v>30</v>
      </c>
      <c r="I74" s="3">
        <v>90</v>
      </c>
      <c r="J74" s="2" t="str">
        <f t="shared" si="1"/>
        <v>25–34</v>
      </c>
      <c r="K74" t="str" cm="1">
        <f t="array" ref="K74">_xlfn.IFS(
  OR(MONTH(B74)=12, MONTH(B74)=1, MONTH(B74)=2), "Winter",
  OR(MONTH(B74)=3, MONTH(B74)=4, MONTH(B74)=5), "Spring",
  OR(MONTH(B74)=6, MONTH(B74)=7, MONTH(B74)=8), "Summer",
  OR(MONTH(B74)=9, MONTH(B74)=10, MONTH(B74)=11), "Fall"
)</f>
        <v>Summer</v>
      </c>
    </row>
    <row r="75" spans="1:11">
      <c r="A75">
        <v>74</v>
      </c>
      <c r="B75" s="1">
        <v>45252</v>
      </c>
      <c r="C75" t="s">
        <v>87</v>
      </c>
      <c r="D75" t="s">
        <v>13</v>
      </c>
      <c r="E75" s="2">
        <v>18</v>
      </c>
      <c r="F75" t="s">
        <v>11</v>
      </c>
      <c r="G75" s="2">
        <v>4</v>
      </c>
      <c r="H75" s="3">
        <v>500</v>
      </c>
      <c r="I75" s="3">
        <v>2000</v>
      </c>
      <c r="J75" s="2" t="str">
        <f t="shared" si="1"/>
        <v>18–24</v>
      </c>
      <c r="K75" t="str" cm="1">
        <f t="array" ref="K75">_xlfn.IFS(
  OR(MONTH(B75)=12, MONTH(B75)=1, MONTH(B75)=2), "Winter",
  OR(MONTH(B75)=3, MONTH(B75)=4, MONTH(B75)=5), "Spring",
  OR(MONTH(B75)=6, MONTH(B75)=7, MONTH(B75)=8), "Summer",
  OR(MONTH(B75)=9, MONTH(B75)=10, MONTH(B75)=11), "Fall"
)</f>
        <v>Fall</v>
      </c>
    </row>
    <row r="76" spans="1:11">
      <c r="A76">
        <v>75</v>
      </c>
      <c r="B76" s="1">
        <v>45113</v>
      </c>
      <c r="C76" t="s">
        <v>88</v>
      </c>
      <c r="D76" t="s">
        <v>10</v>
      </c>
      <c r="E76" s="2">
        <v>61</v>
      </c>
      <c r="F76" t="s">
        <v>11</v>
      </c>
      <c r="G76" s="2">
        <v>4</v>
      </c>
      <c r="H76" s="3">
        <v>50</v>
      </c>
      <c r="I76" s="3">
        <v>200</v>
      </c>
      <c r="J76" s="2" t="str">
        <f t="shared" si="1"/>
        <v>55–64</v>
      </c>
      <c r="K76" t="str" cm="1">
        <f t="array" ref="K76">_xlfn.IFS(
  OR(MONTH(B76)=12, MONTH(B76)=1, MONTH(B76)=2), "Winter",
  OR(MONTH(B76)=3, MONTH(B76)=4, MONTH(B76)=5), "Spring",
  OR(MONTH(B76)=6, MONTH(B76)=7, MONTH(B76)=8), "Summer",
  OR(MONTH(B76)=9, MONTH(B76)=10, MONTH(B76)=11), "Fall"
)</f>
        <v>Summer</v>
      </c>
    </row>
    <row r="77" spans="1:11">
      <c r="A77">
        <v>76</v>
      </c>
      <c r="B77" s="1">
        <v>45010</v>
      </c>
      <c r="C77" t="s">
        <v>89</v>
      </c>
      <c r="D77" t="s">
        <v>13</v>
      </c>
      <c r="E77" s="2">
        <v>22</v>
      </c>
      <c r="F77" t="s">
        <v>16</v>
      </c>
      <c r="G77" s="2">
        <v>2</v>
      </c>
      <c r="H77" s="3">
        <v>50</v>
      </c>
      <c r="I77" s="3">
        <v>100</v>
      </c>
      <c r="J77" s="2" t="str">
        <f t="shared" si="1"/>
        <v>18–24</v>
      </c>
      <c r="K77" t="str" cm="1">
        <f t="array" ref="K77">_xlfn.IFS(
  OR(MONTH(B77)=12, MONTH(B77)=1, MONTH(B77)=2), "Winter",
  OR(MONTH(B77)=3, MONTH(B77)=4, MONTH(B77)=5), "Spring",
  OR(MONTH(B77)=6, MONTH(B77)=7, MONTH(B77)=8), "Summer",
  OR(MONTH(B77)=9, MONTH(B77)=10, MONTH(B77)=11), "Fall"
)</f>
        <v>Spring</v>
      </c>
    </row>
    <row r="78" spans="1:11">
      <c r="A78">
        <v>77</v>
      </c>
      <c r="B78" s="1">
        <v>45116</v>
      </c>
      <c r="C78" t="s">
        <v>90</v>
      </c>
      <c r="D78" t="s">
        <v>13</v>
      </c>
      <c r="E78" s="2">
        <v>47</v>
      </c>
      <c r="F78" t="s">
        <v>14</v>
      </c>
      <c r="G78" s="2">
        <v>2</v>
      </c>
      <c r="H78" s="3">
        <v>50</v>
      </c>
      <c r="I78" s="3">
        <v>100</v>
      </c>
      <c r="J78" s="2" t="str">
        <f t="shared" si="1"/>
        <v>45–54</v>
      </c>
      <c r="K78" t="str" cm="1">
        <f t="array" ref="K78">_xlfn.IFS(
  OR(MONTH(B78)=12, MONTH(B78)=1, MONTH(B78)=2), "Winter",
  OR(MONTH(B78)=3, MONTH(B78)=4, MONTH(B78)=5), "Spring",
  OR(MONTH(B78)=6, MONTH(B78)=7, MONTH(B78)=8), "Summer",
  OR(MONTH(B78)=9, MONTH(B78)=10, MONTH(B78)=11), "Fall"
)</f>
        <v>Summer</v>
      </c>
    </row>
    <row r="79" spans="1:11">
      <c r="A79">
        <v>78</v>
      </c>
      <c r="B79" s="1">
        <v>45108</v>
      </c>
      <c r="C79" t="s">
        <v>91</v>
      </c>
      <c r="D79" t="s">
        <v>13</v>
      </c>
      <c r="E79" s="2">
        <v>47</v>
      </c>
      <c r="F79" t="s">
        <v>14</v>
      </c>
      <c r="G79" s="2">
        <v>3</v>
      </c>
      <c r="H79" s="3">
        <v>500</v>
      </c>
      <c r="I79" s="3">
        <v>1500</v>
      </c>
      <c r="J79" s="2" t="str">
        <f t="shared" si="1"/>
        <v>45–54</v>
      </c>
      <c r="K79" t="str" cm="1">
        <f t="array" ref="K79">_xlfn.IFS(
  OR(MONTH(B79)=12, MONTH(B79)=1, MONTH(B79)=2), "Winter",
  OR(MONTH(B79)=3, MONTH(B79)=4, MONTH(B79)=5), "Spring",
  OR(MONTH(B79)=6, MONTH(B79)=7, MONTH(B79)=8), "Summer",
  OR(MONTH(B79)=9, MONTH(B79)=10, MONTH(B79)=11), "Fall"
)</f>
        <v>Summer</v>
      </c>
    </row>
    <row r="80" spans="1:11">
      <c r="A80">
        <v>79</v>
      </c>
      <c r="B80" s="1">
        <v>45034</v>
      </c>
      <c r="C80" t="s">
        <v>92</v>
      </c>
      <c r="D80" t="s">
        <v>10</v>
      </c>
      <c r="E80" s="2">
        <v>34</v>
      </c>
      <c r="F80" t="s">
        <v>11</v>
      </c>
      <c r="G80" s="2">
        <v>1</v>
      </c>
      <c r="H80" s="3">
        <v>300</v>
      </c>
      <c r="I80" s="3">
        <v>300</v>
      </c>
      <c r="J80" s="2" t="str">
        <f t="shared" si="1"/>
        <v>25–34</v>
      </c>
      <c r="K80" t="str" cm="1">
        <f t="array" ref="K80">_xlfn.IFS(
  OR(MONTH(B80)=12, MONTH(B80)=1, MONTH(B80)=2), "Winter",
  OR(MONTH(B80)=3, MONTH(B80)=4, MONTH(B80)=5), "Spring",
  OR(MONTH(B80)=6, MONTH(B80)=7, MONTH(B80)=8), "Summer",
  OR(MONTH(B80)=9, MONTH(B80)=10, MONTH(B80)=11), "Fall"
)</f>
        <v>Spring</v>
      </c>
    </row>
    <row r="81" spans="1:11">
      <c r="A81">
        <v>80</v>
      </c>
      <c r="B81" s="1">
        <v>45270</v>
      </c>
      <c r="C81" t="s">
        <v>93</v>
      </c>
      <c r="D81" t="s">
        <v>13</v>
      </c>
      <c r="E81" s="2">
        <v>64</v>
      </c>
      <c r="F81" t="s">
        <v>14</v>
      </c>
      <c r="G81" s="2">
        <v>2</v>
      </c>
      <c r="H81" s="3">
        <v>30</v>
      </c>
      <c r="I81" s="3">
        <v>60</v>
      </c>
      <c r="J81" s="2" t="str">
        <f t="shared" si="1"/>
        <v>55–64</v>
      </c>
      <c r="K81" t="str" cm="1">
        <f t="array" ref="K81">_xlfn.IFS(
  OR(MONTH(B81)=12, MONTH(B81)=1, MONTH(B81)=2), "Winter",
  OR(MONTH(B81)=3, MONTH(B81)=4, MONTH(B81)=5), "Spring",
  OR(MONTH(B81)=6, MONTH(B81)=7, MONTH(B81)=8), "Summer",
  OR(MONTH(B81)=9, MONTH(B81)=10, MONTH(B81)=11), "Fall"
)</f>
        <v>Winter</v>
      </c>
    </row>
    <row r="82" spans="1:11">
      <c r="A82">
        <v>81</v>
      </c>
      <c r="B82" s="1">
        <v>45063</v>
      </c>
      <c r="C82" t="s">
        <v>94</v>
      </c>
      <c r="D82" t="s">
        <v>10</v>
      </c>
      <c r="E82" s="2">
        <v>40</v>
      </c>
      <c r="F82" t="s">
        <v>16</v>
      </c>
      <c r="G82" s="2">
        <v>1</v>
      </c>
      <c r="H82" s="3">
        <v>50</v>
      </c>
      <c r="I82" s="3">
        <v>50</v>
      </c>
      <c r="J82" s="2" t="str">
        <f t="shared" si="1"/>
        <v>35–44</v>
      </c>
      <c r="K82" t="str" cm="1">
        <f t="array" ref="K82">_xlfn.IFS(
  OR(MONTH(B82)=12, MONTH(B82)=1, MONTH(B82)=2), "Winter",
  OR(MONTH(B82)=3, MONTH(B82)=4, MONTH(B82)=5), "Spring",
  OR(MONTH(B82)=6, MONTH(B82)=7, MONTH(B82)=8), "Summer",
  OR(MONTH(B82)=9, MONTH(B82)=10, MONTH(B82)=11), "Fall"
)</f>
        <v>Spring</v>
      </c>
    </row>
    <row r="83" spans="1:11">
      <c r="A83">
        <v>82</v>
      </c>
      <c r="B83" s="1">
        <v>45286</v>
      </c>
      <c r="C83" t="s">
        <v>95</v>
      </c>
      <c r="D83" t="s">
        <v>13</v>
      </c>
      <c r="E83" s="2">
        <v>32</v>
      </c>
      <c r="F83" t="s">
        <v>11</v>
      </c>
      <c r="G83" s="2">
        <v>4</v>
      </c>
      <c r="H83" s="3">
        <v>50</v>
      </c>
      <c r="I83" s="3">
        <v>200</v>
      </c>
      <c r="J83" s="2" t="str">
        <f t="shared" si="1"/>
        <v>25–34</v>
      </c>
      <c r="K83" t="str" cm="1">
        <f t="array" ref="K83">_xlfn.IFS(
  OR(MONTH(B83)=12, MONTH(B83)=1, MONTH(B83)=2), "Winter",
  OR(MONTH(B83)=3, MONTH(B83)=4, MONTH(B83)=5), "Spring",
  OR(MONTH(B83)=6, MONTH(B83)=7, MONTH(B83)=8), "Summer",
  OR(MONTH(B83)=9, MONTH(B83)=10, MONTH(B83)=11), "Fall"
)</f>
        <v>Winter</v>
      </c>
    </row>
    <row r="84" spans="1:11">
      <c r="A84">
        <v>83</v>
      </c>
      <c r="B84" s="1">
        <v>45276</v>
      </c>
      <c r="C84" t="s">
        <v>96</v>
      </c>
      <c r="D84" t="s">
        <v>10</v>
      </c>
      <c r="E84" s="2">
        <v>54</v>
      </c>
      <c r="F84" t="s">
        <v>16</v>
      </c>
      <c r="G84" s="2">
        <v>2</v>
      </c>
      <c r="H84" s="3">
        <v>50</v>
      </c>
      <c r="I84" s="3">
        <v>100</v>
      </c>
      <c r="J84" s="2" t="str">
        <f t="shared" si="1"/>
        <v>45–54</v>
      </c>
      <c r="K84" t="str" cm="1">
        <f t="array" ref="K84">_xlfn.IFS(
  OR(MONTH(B84)=12, MONTH(B84)=1, MONTH(B84)=2), "Winter",
  OR(MONTH(B84)=3, MONTH(B84)=4, MONTH(B84)=5), "Spring",
  OR(MONTH(B84)=6, MONTH(B84)=7, MONTH(B84)=8), "Summer",
  OR(MONTH(B84)=9, MONTH(B84)=10, MONTH(B84)=11), "Fall"
)</f>
        <v>Winter</v>
      </c>
    </row>
    <row r="85" spans="1:11">
      <c r="A85">
        <v>84</v>
      </c>
      <c r="B85" s="1">
        <v>45258</v>
      </c>
      <c r="C85" t="s">
        <v>97</v>
      </c>
      <c r="D85" t="s">
        <v>13</v>
      </c>
      <c r="E85" s="2">
        <v>38</v>
      </c>
      <c r="F85" t="s">
        <v>16</v>
      </c>
      <c r="G85" s="2">
        <v>3</v>
      </c>
      <c r="H85" s="3">
        <v>30</v>
      </c>
      <c r="I85" s="3">
        <v>90</v>
      </c>
      <c r="J85" s="2" t="str">
        <f t="shared" si="1"/>
        <v>35–44</v>
      </c>
      <c r="K85" t="str" cm="1">
        <f t="array" ref="K85">_xlfn.IFS(
  OR(MONTH(B85)=12, MONTH(B85)=1, MONTH(B85)=2), "Winter",
  OR(MONTH(B85)=3, MONTH(B85)=4, MONTH(B85)=5), "Spring",
  OR(MONTH(B85)=6, MONTH(B85)=7, MONTH(B85)=8), "Summer",
  OR(MONTH(B85)=9, MONTH(B85)=10, MONTH(B85)=11), "Fall"
)</f>
        <v>Fall</v>
      </c>
    </row>
    <row r="86" spans="1:11">
      <c r="A86">
        <v>85</v>
      </c>
      <c r="B86" s="1">
        <v>44963</v>
      </c>
      <c r="C86" t="s">
        <v>98</v>
      </c>
      <c r="D86" t="s">
        <v>10</v>
      </c>
      <c r="E86" s="2">
        <v>31</v>
      </c>
      <c r="F86" t="s">
        <v>14</v>
      </c>
      <c r="G86" s="2">
        <v>3</v>
      </c>
      <c r="H86" s="3">
        <v>50</v>
      </c>
      <c r="I86" s="3">
        <v>150</v>
      </c>
      <c r="J86" s="2" t="str">
        <f t="shared" si="1"/>
        <v>25–34</v>
      </c>
      <c r="K86" t="str" cm="1">
        <f t="array" ref="K86">_xlfn.IFS(
  OR(MONTH(B86)=12, MONTH(B86)=1, MONTH(B86)=2), "Winter",
  OR(MONTH(B86)=3, MONTH(B86)=4, MONTH(B86)=5), "Spring",
  OR(MONTH(B86)=6, MONTH(B86)=7, MONTH(B86)=8), "Summer",
  OR(MONTH(B86)=9, MONTH(B86)=10, MONTH(B86)=11), "Fall"
)</f>
        <v>Winter</v>
      </c>
    </row>
    <row r="87" spans="1:11">
      <c r="A87">
        <v>86</v>
      </c>
      <c r="B87" s="1">
        <v>45238</v>
      </c>
      <c r="C87" t="s">
        <v>99</v>
      </c>
      <c r="D87" t="s">
        <v>10</v>
      </c>
      <c r="E87" s="2">
        <v>19</v>
      </c>
      <c r="F87" t="s">
        <v>11</v>
      </c>
      <c r="G87" s="2">
        <v>3</v>
      </c>
      <c r="H87" s="3">
        <v>30</v>
      </c>
      <c r="I87" s="3">
        <v>90</v>
      </c>
      <c r="J87" s="2" t="str">
        <f t="shared" si="1"/>
        <v>18–24</v>
      </c>
      <c r="K87" t="str" cm="1">
        <f t="array" ref="K87">_xlfn.IFS(
  OR(MONTH(B87)=12, MONTH(B87)=1, MONTH(B87)=2), "Winter",
  OR(MONTH(B87)=3, MONTH(B87)=4, MONTH(B87)=5), "Spring",
  OR(MONTH(B87)=6, MONTH(B87)=7, MONTH(B87)=8), "Summer",
  OR(MONTH(B87)=9, MONTH(B87)=10, MONTH(B87)=11), "Fall"
)</f>
        <v>Fall</v>
      </c>
    </row>
    <row r="88" spans="1:11">
      <c r="A88">
        <v>87</v>
      </c>
      <c r="B88" s="1">
        <v>45252</v>
      </c>
      <c r="C88" t="s">
        <v>100</v>
      </c>
      <c r="D88" t="s">
        <v>13</v>
      </c>
      <c r="E88" s="2">
        <v>28</v>
      </c>
      <c r="F88" t="s">
        <v>11</v>
      </c>
      <c r="G88" s="2">
        <v>2</v>
      </c>
      <c r="H88" s="3">
        <v>50</v>
      </c>
      <c r="I88" s="3">
        <v>100</v>
      </c>
      <c r="J88" s="2" t="str">
        <f t="shared" si="1"/>
        <v>25–34</v>
      </c>
      <c r="K88" t="str" cm="1">
        <f t="array" ref="K88">_xlfn.IFS(
  OR(MONTH(B88)=12, MONTH(B88)=1, MONTH(B88)=2), "Winter",
  OR(MONTH(B88)=3, MONTH(B88)=4, MONTH(B88)=5), "Spring",
  OR(MONTH(B88)=6, MONTH(B88)=7, MONTH(B88)=8), "Summer",
  OR(MONTH(B88)=9, MONTH(B88)=10, MONTH(B88)=11), "Fall"
)</f>
        <v>Fall</v>
      </c>
    </row>
    <row r="89" spans="1:11">
      <c r="A89">
        <v>88</v>
      </c>
      <c r="B89" s="1">
        <v>45014</v>
      </c>
      <c r="C89" t="s">
        <v>101</v>
      </c>
      <c r="D89" t="s">
        <v>10</v>
      </c>
      <c r="E89" s="2">
        <v>56</v>
      </c>
      <c r="F89" t="s">
        <v>14</v>
      </c>
      <c r="G89" s="2">
        <v>1</v>
      </c>
      <c r="H89" s="3">
        <v>500</v>
      </c>
      <c r="I89" s="3">
        <v>500</v>
      </c>
      <c r="J89" s="2" t="str">
        <f t="shared" si="1"/>
        <v>55–64</v>
      </c>
      <c r="K89" t="str" cm="1">
        <f t="array" ref="K89">_xlfn.IFS(
  OR(MONTH(B89)=12, MONTH(B89)=1, MONTH(B89)=2), "Winter",
  OR(MONTH(B89)=3, MONTH(B89)=4, MONTH(B89)=5), "Spring",
  OR(MONTH(B89)=6, MONTH(B89)=7, MONTH(B89)=8), "Summer",
  OR(MONTH(B89)=9, MONTH(B89)=10, MONTH(B89)=11), "Fall"
)</f>
        <v>Spring</v>
      </c>
    </row>
    <row r="90" spans="1:11">
      <c r="A90">
        <v>89</v>
      </c>
      <c r="B90" s="1">
        <v>45200</v>
      </c>
      <c r="C90" t="s">
        <v>102</v>
      </c>
      <c r="D90" t="s">
        <v>13</v>
      </c>
      <c r="E90" s="2">
        <v>55</v>
      </c>
      <c r="F90" t="s">
        <v>16</v>
      </c>
      <c r="G90" s="2">
        <v>4</v>
      </c>
      <c r="H90" s="3">
        <v>500</v>
      </c>
      <c r="I90" s="3">
        <v>2000</v>
      </c>
      <c r="J90" s="2" t="str">
        <f t="shared" si="1"/>
        <v>55–64</v>
      </c>
      <c r="K90" t="str" cm="1">
        <f t="array" ref="K90">_xlfn.IFS(
  OR(MONTH(B90)=12, MONTH(B90)=1, MONTH(B90)=2), "Winter",
  OR(MONTH(B90)=3, MONTH(B90)=4, MONTH(B90)=5), "Spring",
  OR(MONTH(B90)=6, MONTH(B90)=7, MONTH(B90)=8), "Summer",
  OR(MONTH(B90)=9, MONTH(B90)=10, MONTH(B90)=11), "Fall"
)</f>
        <v>Fall</v>
      </c>
    </row>
    <row r="91" spans="1:11">
      <c r="A91">
        <v>90</v>
      </c>
      <c r="B91" s="1">
        <v>45052</v>
      </c>
      <c r="C91" t="s">
        <v>103</v>
      </c>
      <c r="D91" t="s">
        <v>13</v>
      </c>
      <c r="E91" s="2">
        <v>51</v>
      </c>
      <c r="F91" t="s">
        <v>16</v>
      </c>
      <c r="G91" s="2">
        <v>1</v>
      </c>
      <c r="H91" s="3">
        <v>30</v>
      </c>
      <c r="I91" s="3">
        <v>30</v>
      </c>
      <c r="J91" s="2" t="str">
        <f t="shared" si="1"/>
        <v>45–54</v>
      </c>
      <c r="K91" t="str" cm="1">
        <f t="array" ref="K91">_xlfn.IFS(
  OR(MONTH(B91)=12, MONTH(B91)=1, MONTH(B91)=2), "Winter",
  OR(MONTH(B91)=3, MONTH(B91)=4, MONTH(B91)=5), "Spring",
  OR(MONTH(B91)=6, MONTH(B91)=7, MONTH(B91)=8), "Summer",
  OR(MONTH(B91)=9, MONTH(B91)=10, MONTH(B91)=11), "Fall"
)</f>
        <v>Spring</v>
      </c>
    </row>
    <row r="92" spans="1:11">
      <c r="A92">
        <v>91</v>
      </c>
      <c r="B92" s="1">
        <v>45010</v>
      </c>
      <c r="C92" t="s">
        <v>104</v>
      </c>
      <c r="D92" t="s">
        <v>13</v>
      </c>
      <c r="E92" s="2">
        <v>55</v>
      </c>
      <c r="F92" t="s">
        <v>16</v>
      </c>
      <c r="G92" s="2">
        <v>1</v>
      </c>
      <c r="H92" s="3">
        <v>500</v>
      </c>
      <c r="I92" s="3">
        <v>500</v>
      </c>
      <c r="J92" s="2" t="str">
        <f t="shared" si="1"/>
        <v>55–64</v>
      </c>
      <c r="K92" t="str" cm="1">
        <f t="array" ref="K92">_xlfn.IFS(
  OR(MONTH(B92)=12, MONTH(B92)=1, MONTH(B92)=2), "Winter",
  OR(MONTH(B92)=3, MONTH(B92)=4, MONTH(B92)=5), "Spring",
  OR(MONTH(B92)=6, MONTH(B92)=7, MONTH(B92)=8), "Summer",
  OR(MONTH(B92)=9, MONTH(B92)=10, MONTH(B92)=11), "Fall"
)</f>
        <v>Spring</v>
      </c>
    </row>
    <row r="93" spans="1:11">
      <c r="A93">
        <v>92</v>
      </c>
      <c r="B93" s="1">
        <v>45163</v>
      </c>
      <c r="C93" t="s">
        <v>105</v>
      </c>
      <c r="D93" t="s">
        <v>13</v>
      </c>
      <c r="E93" s="2">
        <v>51</v>
      </c>
      <c r="F93" t="s">
        <v>16</v>
      </c>
      <c r="G93" s="2">
        <v>4</v>
      </c>
      <c r="H93" s="3">
        <v>30</v>
      </c>
      <c r="I93" s="3">
        <v>120</v>
      </c>
      <c r="J93" s="2" t="str">
        <f t="shared" si="1"/>
        <v>45–54</v>
      </c>
      <c r="K93" t="str" cm="1">
        <f t="array" ref="K93">_xlfn.IFS(
  OR(MONTH(B93)=12, MONTH(B93)=1, MONTH(B93)=2), "Winter",
  OR(MONTH(B93)=3, MONTH(B93)=4, MONTH(B93)=5), "Spring",
  OR(MONTH(B93)=6, MONTH(B93)=7, MONTH(B93)=8), "Summer",
  OR(MONTH(B93)=9, MONTH(B93)=10, MONTH(B93)=11), "Fall"
)</f>
        <v>Summer</v>
      </c>
    </row>
    <row r="94" spans="1:11">
      <c r="A94">
        <v>93</v>
      </c>
      <c r="B94" s="1">
        <v>45121</v>
      </c>
      <c r="C94" t="s">
        <v>106</v>
      </c>
      <c r="D94" t="s">
        <v>13</v>
      </c>
      <c r="E94" s="2">
        <v>35</v>
      </c>
      <c r="F94" t="s">
        <v>11</v>
      </c>
      <c r="G94" s="2">
        <v>4</v>
      </c>
      <c r="H94" s="3">
        <v>500</v>
      </c>
      <c r="I94" s="3">
        <v>2000</v>
      </c>
      <c r="J94" s="2" t="str">
        <f t="shared" si="1"/>
        <v>35–44</v>
      </c>
      <c r="K94" t="str" cm="1">
        <f t="array" ref="K94">_xlfn.IFS(
  OR(MONTH(B94)=12, MONTH(B94)=1, MONTH(B94)=2), "Winter",
  OR(MONTH(B94)=3, MONTH(B94)=4, MONTH(B94)=5), "Spring",
  OR(MONTH(B94)=6, MONTH(B94)=7, MONTH(B94)=8), "Summer",
  OR(MONTH(B94)=9, MONTH(B94)=10, MONTH(B94)=11), "Fall"
)</f>
        <v>Summer</v>
      </c>
    </row>
    <row r="95" spans="1:11">
      <c r="A95">
        <v>94</v>
      </c>
      <c r="B95" s="1">
        <v>45065</v>
      </c>
      <c r="C95" t="s">
        <v>107</v>
      </c>
      <c r="D95" t="s">
        <v>13</v>
      </c>
      <c r="E95" s="2">
        <v>47</v>
      </c>
      <c r="F95" t="s">
        <v>11</v>
      </c>
      <c r="G95" s="2">
        <v>2</v>
      </c>
      <c r="H95" s="3">
        <v>500</v>
      </c>
      <c r="I95" s="3">
        <v>1000</v>
      </c>
      <c r="J95" s="2" t="str">
        <f t="shared" si="1"/>
        <v>45–54</v>
      </c>
      <c r="K95" t="str" cm="1">
        <f t="array" ref="K95">_xlfn.IFS(
  OR(MONTH(B95)=12, MONTH(B95)=1, MONTH(B95)=2), "Winter",
  OR(MONTH(B95)=3, MONTH(B95)=4, MONTH(B95)=5), "Spring",
  OR(MONTH(B95)=6, MONTH(B95)=7, MONTH(B95)=8), "Summer",
  OR(MONTH(B95)=9, MONTH(B95)=10, MONTH(B95)=11), "Fall"
)</f>
        <v>Spring</v>
      </c>
    </row>
    <row r="96" spans="1:11">
      <c r="A96">
        <v>95</v>
      </c>
      <c r="B96" s="1">
        <v>45254</v>
      </c>
      <c r="C96" t="s">
        <v>108</v>
      </c>
      <c r="D96" t="s">
        <v>13</v>
      </c>
      <c r="E96" s="2">
        <v>32</v>
      </c>
      <c r="F96" t="s">
        <v>14</v>
      </c>
      <c r="G96" s="2">
        <v>2</v>
      </c>
      <c r="H96" s="3">
        <v>30</v>
      </c>
      <c r="I96" s="3">
        <v>60</v>
      </c>
      <c r="J96" s="2" t="str">
        <f t="shared" si="1"/>
        <v>25–34</v>
      </c>
      <c r="K96" t="str" cm="1">
        <f t="array" ref="K96">_xlfn.IFS(
  OR(MONTH(B96)=12, MONTH(B96)=1, MONTH(B96)=2), "Winter",
  OR(MONTH(B96)=3, MONTH(B96)=4, MONTH(B96)=5), "Spring",
  OR(MONTH(B96)=6, MONTH(B96)=7, MONTH(B96)=8), "Summer",
  OR(MONTH(B96)=9, MONTH(B96)=10, MONTH(B96)=11), "Fall"
)</f>
        <v>Fall</v>
      </c>
    </row>
    <row r="97" spans="1:11">
      <c r="A97">
        <v>96</v>
      </c>
      <c r="B97" s="1">
        <v>45279</v>
      </c>
      <c r="C97" t="s">
        <v>109</v>
      </c>
      <c r="D97" t="s">
        <v>13</v>
      </c>
      <c r="E97" s="2">
        <v>44</v>
      </c>
      <c r="F97" t="s">
        <v>14</v>
      </c>
      <c r="G97" s="2">
        <v>2</v>
      </c>
      <c r="H97" s="3">
        <v>300</v>
      </c>
      <c r="I97" s="3">
        <v>600</v>
      </c>
      <c r="J97" s="2" t="str">
        <f t="shared" si="1"/>
        <v>35–44</v>
      </c>
      <c r="K97" t="str" cm="1">
        <f t="array" ref="K97">_xlfn.IFS(
  OR(MONTH(B97)=12, MONTH(B97)=1, MONTH(B97)=2), "Winter",
  OR(MONTH(B97)=3, MONTH(B97)=4, MONTH(B97)=5), "Spring",
  OR(MONTH(B97)=6, MONTH(B97)=7, MONTH(B97)=8), "Summer",
  OR(MONTH(B97)=9, MONTH(B97)=10, MONTH(B97)=11), "Fall"
)</f>
        <v>Winter</v>
      </c>
    </row>
    <row r="98" spans="1:11">
      <c r="A98">
        <v>97</v>
      </c>
      <c r="B98" s="1">
        <v>45212</v>
      </c>
      <c r="C98" t="s">
        <v>110</v>
      </c>
      <c r="D98" t="s">
        <v>13</v>
      </c>
      <c r="E98" s="2">
        <v>51</v>
      </c>
      <c r="F98" t="s">
        <v>11</v>
      </c>
      <c r="G98" s="2">
        <v>2</v>
      </c>
      <c r="H98" s="3">
        <v>500</v>
      </c>
      <c r="I98" s="3">
        <v>1000</v>
      </c>
      <c r="J98" s="2" t="str">
        <f t="shared" si="1"/>
        <v>45–54</v>
      </c>
      <c r="K98" t="str" cm="1">
        <f t="array" ref="K98">_xlfn.IFS(
  OR(MONTH(B98)=12, MONTH(B98)=1, MONTH(B98)=2), "Winter",
  OR(MONTH(B98)=3, MONTH(B98)=4, MONTH(B98)=5), "Spring",
  OR(MONTH(B98)=6, MONTH(B98)=7, MONTH(B98)=8), "Summer",
  OR(MONTH(B98)=9, MONTH(B98)=10, MONTH(B98)=11), "Fall"
)</f>
        <v>Fall</v>
      </c>
    </row>
    <row r="99" spans="1:11">
      <c r="A99">
        <v>98</v>
      </c>
      <c r="B99" s="1">
        <v>45039</v>
      </c>
      <c r="C99" t="s">
        <v>111</v>
      </c>
      <c r="D99" t="s">
        <v>13</v>
      </c>
      <c r="E99" s="2">
        <v>55</v>
      </c>
      <c r="F99" t="s">
        <v>11</v>
      </c>
      <c r="G99" s="2">
        <v>2</v>
      </c>
      <c r="H99" s="3">
        <v>50</v>
      </c>
      <c r="I99" s="3">
        <v>100</v>
      </c>
      <c r="J99" s="2" t="str">
        <f t="shared" si="1"/>
        <v>55–64</v>
      </c>
      <c r="K99" t="str" cm="1">
        <f t="array" ref="K99">_xlfn.IFS(
  OR(MONTH(B99)=12, MONTH(B99)=1, MONTH(B99)=2), "Winter",
  OR(MONTH(B99)=3, MONTH(B99)=4, MONTH(B99)=5), "Spring",
  OR(MONTH(B99)=6, MONTH(B99)=7, MONTH(B99)=8), "Summer",
  OR(MONTH(B99)=9, MONTH(B99)=10, MONTH(B99)=11), "Fall"
)</f>
        <v>Spring</v>
      </c>
    </row>
    <row r="100" spans="1:11">
      <c r="A100">
        <v>99</v>
      </c>
      <c r="B100" s="1">
        <v>45277</v>
      </c>
      <c r="C100" t="s">
        <v>112</v>
      </c>
      <c r="D100" t="s">
        <v>13</v>
      </c>
      <c r="E100" s="2">
        <v>50</v>
      </c>
      <c r="F100" t="s">
        <v>16</v>
      </c>
      <c r="G100" s="2">
        <v>4</v>
      </c>
      <c r="H100" s="3">
        <v>300</v>
      </c>
      <c r="I100" s="3">
        <v>1200</v>
      </c>
      <c r="J100" s="2" t="str">
        <f t="shared" si="1"/>
        <v>45–54</v>
      </c>
      <c r="K100" t="str" cm="1">
        <f t="array" ref="K100">_xlfn.IFS(
  OR(MONTH(B100)=12, MONTH(B100)=1, MONTH(B100)=2), "Winter",
  OR(MONTH(B100)=3, MONTH(B100)=4, MONTH(B100)=5), "Spring",
  OR(MONTH(B100)=6, MONTH(B100)=7, MONTH(B100)=8), "Summer",
  OR(MONTH(B100)=9, MONTH(B100)=10, MONTH(B100)=11), "Fall"
)</f>
        <v>Winter</v>
      </c>
    </row>
    <row r="101" spans="1:11">
      <c r="A101">
        <v>100</v>
      </c>
      <c r="B101" s="1">
        <v>45093</v>
      </c>
      <c r="C101" t="s">
        <v>113</v>
      </c>
      <c r="D101" t="s">
        <v>10</v>
      </c>
      <c r="E101" s="2">
        <v>41</v>
      </c>
      <c r="F101" t="s">
        <v>16</v>
      </c>
      <c r="G101" s="2">
        <v>1</v>
      </c>
      <c r="H101" s="3">
        <v>30</v>
      </c>
      <c r="I101" s="3">
        <v>30</v>
      </c>
      <c r="J101" s="2" t="str">
        <f t="shared" si="1"/>
        <v>35–44</v>
      </c>
      <c r="K101" t="str" cm="1">
        <f t="array" ref="K101">_xlfn.IFS(
  OR(MONTH(B101)=12, MONTH(B101)=1, MONTH(B101)=2), "Winter",
  OR(MONTH(B101)=3, MONTH(B101)=4, MONTH(B101)=5), "Spring",
  OR(MONTH(B101)=6, MONTH(B101)=7, MONTH(B101)=8), "Summer",
  OR(MONTH(B101)=9, MONTH(B101)=10, MONTH(B101)=11), "Fall"
)</f>
        <v>Summer</v>
      </c>
    </row>
    <row r="102" spans="1:11">
      <c r="A102">
        <v>101</v>
      </c>
      <c r="B102" s="1">
        <v>44955</v>
      </c>
      <c r="C102" t="s">
        <v>114</v>
      </c>
      <c r="D102" t="s">
        <v>10</v>
      </c>
      <c r="E102" s="2">
        <v>32</v>
      </c>
      <c r="F102" t="s">
        <v>14</v>
      </c>
      <c r="G102" s="2">
        <v>2</v>
      </c>
      <c r="H102" s="3">
        <v>300</v>
      </c>
      <c r="I102" s="3">
        <v>600</v>
      </c>
      <c r="J102" s="2" t="str">
        <f t="shared" si="1"/>
        <v>25–34</v>
      </c>
      <c r="K102" t="str" cm="1">
        <f t="array" ref="K102">_xlfn.IFS(
  OR(MONTH(B102)=12, MONTH(B102)=1, MONTH(B102)=2), "Winter",
  OR(MONTH(B102)=3, MONTH(B102)=4, MONTH(B102)=5), "Spring",
  OR(MONTH(B102)=6, MONTH(B102)=7, MONTH(B102)=8), "Summer",
  OR(MONTH(B102)=9, MONTH(B102)=10, MONTH(B102)=11), "Fall"
)</f>
        <v>Winter</v>
      </c>
    </row>
    <row r="103" spans="1:11">
      <c r="A103">
        <v>102</v>
      </c>
      <c r="B103" s="1">
        <v>45044</v>
      </c>
      <c r="C103" t="s">
        <v>115</v>
      </c>
      <c r="D103" t="s">
        <v>13</v>
      </c>
      <c r="E103" s="2">
        <v>47</v>
      </c>
      <c r="F103" t="s">
        <v>11</v>
      </c>
      <c r="G103" s="2">
        <v>2</v>
      </c>
      <c r="H103" s="3">
        <v>25</v>
      </c>
      <c r="I103" s="3">
        <v>50</v>
      </c>
      <c r="J103" s="2" t="str">
        <f t="shared" si="1"/>
        <v>45–54</v>
      </c>
      <c r="K103" t="str" cm="1">
        <f t="array" ref="K103">_xlfn.IFS(
  OR(MONTH(B103)=12, MONTH(B103)=1, MONTH(B103)=2), "Winter",
  OR(MONTH(B103)=3, MONTH(B103)=4, MONTH(B103)=5), "Spring",
  OR(MONTH(B103)=6, MONTH(B103)=7, MONTH(B103)=8), "Summer",
  OR(MONTH(B103)=9, MONTH(B103)=10, MONTH(B103)=11), "Fall"
)</f>
        <v>Spring</v>
      </c>
    </row>
    <row r="104" spans="1:11">
      <c r="A104">
        <v>103</v>
      </c>
      <c r="B104" s="1">
        <v>44943</v>
      </c>
      <c r="C104" t="s">
        <v>116</v>
      </c>
      <c r="D104" t="s">
        <v>13</v>
      </c>
      <c r="E104" s="2">
        <v>59</v>
      </c>
      <c r="F104" t="s">
        <v>14</v>
      </c>
      <c r="G104" s="2">
        <v>1</v>
      </c>
      <c r="H104" s="3">
        <v>25</v>
      </c>
      <c r="I104" s="3">
        <v>25</v>
      </c>
      <c r="J104" s="2" t="str">
        <f t="shared" si="1"/>
        <v>55–64</v>
      </c>
      <c r="K104" t="str" cm="1">
        <f t="array" ref="K104">_xlfn.IFS(
  OR(MONTH(B104)=12, MONTH(B104)=1, MONTH(B104)=2), "Winter",
  OR(MONTH(B104)=3, MONTH(B104)=4, MONTH(B104)=5), "Spring",
  OR(MONTH(B104)=6, MONTH(B104)=7, MONTH(B104)=8), "Summer",
  OR(MONTH(B104)=9, MONTH(B104)=10, MONTH(B104)=11), "Fall"
)</f>
        <v>Winter</v>
      </c>
    </row>
    <row r="105" spans="1:11">
      <c r="A105">
        <v>104</v>
      </c>
      <c r="B105" s="1">
        <v>45088</v>
      </c>
      <c r="C105" t="s">
        <v>117</v>
      </c>
      <c r="D105" t="s">
        <v>13</v>
      </c>
      <c r="E105" s="2">
        <v>34</v>
      </c>
      <c r="F105" t="s">
        <v>11</v>
      </c>
      <c r="G105" s="2">
        <v>2</v>
      </c>
      <c r="H105" s="3">
        <v>500</v>
      </c>
      <c r="I105" s="3">
        <v>1000</v>
      </c>
      <c r="J105" s="2" t="str">
        <f t="shared" si="1"/>
        <v>25–34</v>
      </c>
      <c r="K105" t="str" cm="1">
        <f t="array" ref="K105">_xlfn.IFS(
  OR(MONTH(B105)=12, MONTH(B105)=1, MONTH(B105)=2), "Winter",
  OR(MONTH(B105)=3, MONTH(B105)=4, MONTH(B105)=5), "Spring",
  OR(MONTH(B105)=6, MONTH(B105)=7, MONTH(B105)=8), "Summer",
  OR(MONTH(B105)=9, MONTH(B105)=10, MONTH(B105)=11), "Fall"
)</f>
        <v>Summer</v>
      </c>
    </row>
    <row r="106" spans="1:11">
      <c r="A106">
        <v>105</v>
      </c>
      <c r="B106" s="1">
        <v>45132</v>
      </c>
      <c r="C106" t="s">
        <v>118</v>
      </c>
      <c r="D106" t="s">
        <v>13</v>
      </c>
      <c r="E106" s="2">
        <v>22</v>
      </c>
      <c r="F106" t="s">
        <v>16</v>
      </c>
      <c r="G106" s="2">
        <v>1</v>
      </c>
      <c r="H106" s="3">
        <v>500</v>
      </c>
      <c r="I106" s="3">
        <v>500</v>
      </c>
      <c r="J106" s="2" t="str">
        <f t="shared" si="1"/>
        <v>18–24</v>
      </c>
      <c r="K106" t="str" cm="1">
        <f t="array" ref="K106">_xlfn.IFS(
  OR(MONTH(B106)=12, MONTH(B106)=1, MONTH(B106)=2), "Winter",
  OR(MONTH(B106)=3, MONTH(B106)=4, MONTH(B106)=5), "Spring",
  OR(MONTH(B106)=6, MONTH(B106)=7, MONTH(B106)=8), "Summer",
  OR(MONTH(B106)=9, MONTH(B106)=10, MONTH(B106)=11), "Fall"
)</f>
        <v>Summer</v>
      </c>
    </row>
    <row r="107" spans="1:11">
      <c r="A107">
        <v>106</v>
      </c>
      <c r="B107" s="1">
        <v>45064</v>
      </c>
      <c r="C107" t="s">
        <v>119</v>
      </c>
      <c r="D107" t="s">
        <v>13</v>
      </c>
      <c r="E107" s="2">
        <v>46</v>
      </c>
      <c r="F107" t="s">
        <v>14</v>
      </c>
      <c r="G107" s="2">
        <v>1</v>
      </c>
      <c r="H107" s="3">
        <v>50</v>
      </c>
      <c r="I107" s="3">
        <v>50</v>
      </c>
      <c r="J107" s="2" t="str">
        <f t="shared" si="1"/>
        <v>45–54</v>
      </c>
      <c r="K107" t="str" cm="1">
        <f t="array" ref="K107">_xlfn.IFS(
  OR(MONTH(B107)=12, MONTH(B107)=1, MONTH(B107)=2), "Winter",
  OR(MONTH(B107)=3, MONTH(B107)=4, MONTH(B107)=5), "Spring",
  OR(MONTH(B107)=6, MONTH(B107)=7, MONTH(B107)=8), "Summer",
  OR(MONTH(B107)=9, MONTH(B107)=10, MONTH(B107)=11), "Fall"
)</f>
        <v>Spring</v>
      </c>
    </row>
    <row r="108" spans="1:11">
      <c r="A108">
        <v>107</v>
      </c>
      <c r="B108" s="1">
        <v>44960</v>
      </c>
      <c r="C108" t="s">
        <v>120</v>
      </c>
      <c r="D108" t="s">
        <v>13</v>
      </c>
      <c r="E108" s="2">
        <v>21</v>
      </c>
      <c r="F108" t="s">
        <v>14</v>
      </c>
      <c r="G108" s="2">
        <v>4</v>
      </c>
      <c r="H108" s="3">
        <v>300</v>
      </c>
      <c r="I108" s="3">
        <v>1200</v>
      </c>
      <c r="J108" s="2" t="str">
        <f t="shared" si="1"/>
        <v>18–24</v>
      </c>
      <c r="K108" t="str" cm="1">
        <f t="array" ref="K108">_xlfn.IFS(
  OR(MONTH(B108)=12, MONTH(B108)=1, MONTH(B108)=2), "Winter",
  OR(MONTH(B108)=3, MONTH(B108)=4, MONTH(B108)=5), "Spring",
  OR(MONTH(B108)=6, MONTH(B108)=7, MONTH(B108)=8), "Summer",
  OR(MONTH(B108)=9, MONTH(B108)=10, MONTH(B108)=11), "Fall"
)</f>
        <v>Winter</v>
      </c>
    </row>
    <row r="109" spans="1:11">
      <c r="A109">
        <v>108</v>
      </c>
      <c r="B109" s="1">
        <v>45035</v>
      </c>
      <c r="C109" t="s">
        <v>121</v>
      </c>
      <c r="D109" t="s">
        <v>13</v>
      </c>
      <c r="E109" s="2">
        <v>27</v>
      </c>
      <c r="F109" t="s">
        <v>11</v>
      </c>
      <c r="G109" s="2">
        <v>3</v>
      </c>
      <c r="H109" s="3">
        <v>25</v>
      </c>
      <c r="I109" s="3">
        <v>75</v>
      </c>
      <c r="J109" s="2" t="str">
        <f t="shared" si="1"/>
        <v>25–34</v>
      </c>
      <c r="K109" t="str" cm="1">
        <f t="array" ref="K109">_xlfn.IFS(
  OR(MONTH(B109)=12, MONTH(B109)=1, MONTH(B109)=2), "Winter",
  OR(MONTH(B109)=3, MONTH(B109)=4, MONTH(B109)=5), "Spring",
  OR(MONTH(B109)=6, MONTH(B109)=7, MONTH(B109)=8), "Summer",
  OR(MONTH(B109)=9, MONTH(B109)=10, MONTH(B109)=11), "Fall"
)</f>
        <v>Spring</v>
      </c>
    </row>
    <row r="110" spans="1:11">
      <c r="A110">
        <v>109</v>
      </c>
      <c r="B110" s="1">
        <v>45217</v>
      </c>
      <c r="C110" t="s">
        <v>122</v>
      </c>
      <c r="D110" t="s">
        <v>13</v>
      </c>
      <c r="E110" s="2">
        <v>34</v>
      </c>
      <c r="F110" t="s">
        <v>16</v>
      </c>
      <c r="G110" s="2">
        <v>4</v>
      </c>
      <c r="H110" s="3">
        <v>500</v>
      </c>
      <c r="I110" s="3">
        <v>2000</v>
      </c>
      <c r="J110" s="2" t="str">
        <f t="shared" si="1"/>
        <v>25–34</v>
      </c>
      <c r="K110" t="str" cm="1">
        <f t="array" ref="K110">_xlfn.IFS(
  OR(MONTH(B110)=12, MONTH(B110)=1, MONTH(B110)=2), "Winter",
  OR(MONTH(B110)=3, MONTH(B110)=4, MONTH(B110)=5), "Spring",
  OR(MONTH(B110)=6, MONTH(B110)=7, MONTH(B110)=8), "Summer",
  OR(MONTH(B110)=9, MONTH(B110)=10, MONTH(B110)=11), "Fall"
)</f>
        <v>Fall</v>
      </c>
    </row>
    <row r="111" spans="1:11">
      <c r="A111">
        <v>110</v>
      </c>
      <c r="B111" s="1">
        <v>45088</v>
      </c>
      <c r="C111" t="s">
        <v>123</v>
      </c>
      <c r="D111" t="s">
        <v>10</v>
      </c>
      <c r="E111" s="2">
        <v>27</v>
      </c>
      <c r="F111" t="s">
        <v>14</v>
      </c>
      <c r="G111" s="2">
        <v>3</v>
      </c>
      <c r="H111" s="3">
        <v>300</v>
      </c>
      <c r="I111" s="3">
        <v>900</v>
      </c>
      <c r="J111" s="2" t="str">
        <f t="shared" si="1"/>
        <v>25–34</v>
      </c>
      <c r="K111" t="str" cm="1">
        <f t="array" ref="K111">_xlfn.IFS(
  OR(MONTH(B111)=12, MONTH(B111)=1, MONTH(B111)=2), "Winter",
  OR(MONTH(B111)=3, MONTH(B111)=4, MONTH(B111)=5), "Spring",
  OR(MONTH(B111)=6, MONTH(B111)=7, MONTH(B111)=8), "Summer",
  OR(MONTH(B111)=9, MONTH(B111)=10, MONTH(B111)=11), "Fall"
)</f>
        <v>Summer</v>
      </c>
    </row>
    <row r="112" spans="1:11">
      <c r="A112">
        <v>111</v>
      </c>
      <c r="B112" s="1">
        <v>45035</v>
      </c>
      <c r="C112" t="s">
        <v>124</v>
      </c>
      <c r="D112" t="s">
        <v>13</v>
      </c>
      <c r="E112" s="2">
        <v>34</v>
      </c>
      <c r="F112" t="s">
        <v>16</v>
      </c>
      <c r="G112" s="2">
        <v>3</v>
      </c>
      <c r="H112" s="3">
        <v>500</v>
      </c>
      <c r="I112" s="3">
        <v>1500</v>
      </c>
      <c r="J112" s="2" t="str">
        <f t="shared" si="1"/>
        <v>25–34</v>
      </c>
      <c r="K112" t="str" cm="1">
        <f t="array" ref="K112">_xlfn.IFS(
  OR(MONTH(B112)=12, MONTH(B112)=1, MONTH(B112)=2), "Winter",
  OR(MONTH(B112)=3, MONTH(B112)=4, MONTH(B112)=5), "Spring",
  OR(MONTH(B112)=6, MONTH(B112)=7, MONTH(B112)=8), "Summer",
  OR(MONTH(B112)=9, MONTH(B112)=10, MONTH(B112)=11), "Fall"
)</f>
        <v>Spring</v>
      </c>
    </row>
    <row r="113" spans="1:11">
      <c r="A113">
        <v>112</v>
      </c>
      <c r="B113" s="1">
        <v>45262</v>
      </c>
      <c r="C113" t="s">
        <v>125</v>
      </c>
      <c r="D113" t="s">
        <v>10</v>
      </c>
      <c r="E113" s="2">
        <v>37</v>
      </c>
      <c r="F113" t="s">
        <v>14</v>
      </c>
      <c r="G113" s="2">
        <v>3</v>
      </c>
      <c r="H113" s="3">
        <v>500</v>
      </c>
      <c r="I113" s="3">
        <v>1500</v>
      </c>
      <c r="J113" s="2" t="str">
        <f t="shared" si="1"/>
        <v>35–44</v>
      </c>
      <c r="K113" t="str" cm="1">
        <f t="array" ref="K113">_xlfn.IFS(
  OR(MONTH(B113)=12, MONTH(B113)=1, MONTH(B113)=2), "Winter",
  OR(MONTH(B113)=3, MONTH(B113)=4, MONTH(B113)=5), "Spring",
  OR(MONTH(B113)=6, MONTH(B113)=7, MONTH(B113)=8), "Summer",
  OR(MONTH(B113)=9, MONTH(B113)=10, MONTH(B113)=11), "Fall"
)</f>
        <v>Winter</v>
      </c>
    </row>
    <row r="114" spans="1:11">
      <c r="A114">
        <v>113</v>
      </c>
      <c r="B114" s="1">
        <v>45182</v>
      </c>
      <c r="C114" t="s">
        <v>126</v>
      </c>
      <c r="D114" t="s">
        <v>13</v>
      </c>
      <c r="E114" s="2">
        <v>41</v>
      </c>
      <c r="F114" t="s">
        <v>16</v>
      </c>
      <c r="G114" s="2">
        <v>2</v>
      </c>
      <c r="H114" s="3">
        <v>25</v>
      </c>
      <c r="I114" s="3">
        <v>50</v>
      </c>
      <c r="J114" s="2" t="str">
        <f t="shared" si="1"/>
        <v>35–44</v>
      </c>
      <c r="K114" t="str" cm="1">
        <f t="array" ref="K114">_xlfn.IFS(
  OR(MONTH(B114)=12, MONTH(B114)=1, MONTH(B114)=2), "Winter",
  OR(MONTH(B114)=3, MONTH(B114)=4, MONTH(B114)=5), "Spring",
  OR(MONTH(B114)=6, MONTH(B114)=7, MONTH(B114)=8), "Summer",
  OR(MONTH(B114)=9, MONTH(B114)=10, MONTH(B114)=11), "Fall"
)</f>
        <v>Fall</v>
      </c>
    </row>
    <row r="115" spans="1:11">
      <c r="A115">
        <v>114</v>
      </c>
      <c r="B115" s="1">
        <v>45129</v>
      </c>
      <c r="C115" t="s">
        <v>127</v>
      </c>
      <c r="D115" t="s">
        <v>13</v>
      </c>
      <c r="E115" s="2">
        <v>22</v>
      </c>
      <c r="F115" t="s">
        <v>11</v>
      </c>
      <c r="G115" s="2">
        <v>4</v>
      </c>
      <c r="H115" s="3">
        <v>25</v>
      </c>
      <c r="I115" s="3">
        <v>100</v>
      </c>
      <c r="J115" s="2" t="str">
        <f t="shared" si="1"/>
        <v>18–24</v>
      </c>
      <c r="K115" t="str" cm="1">
        <f t="array" ref="K115">_xlfn.IFS(
  OR(MONTH(B115)=12, MONTH(B115)=1, MONTH(B115)=2), "Winter",
  OR(MONTH(B115)=3, MONTH(B115)=4, MONTH(B115)=5), "Spring",
  OR(MONTH(B115)=6, MONTH(B115)=7, MONTH(B115)=8), "Summer",
  OR(MONTH(B115)=9, MONTH(B115)=10, MONTH(B115)=11), "Fall"
)</f>
        <v>Summer</v>
      </c>
    </row>
    <row r="116" spans="1:11">
      <c r="A116">
        <v>115</v>
      </c>
      <c r="B116" s="1">
        <v>45256</v>
      </c>
      <c r="C116" t="s">
        <v>128</v>
      </c>
      <c r="D116" t="s">
        <v>10</v>
      </c>
      <c r="E116" s="2">
        <v>51</v>
      </c>
      <c r="F116" t="s">
        <v>14</v>
      </c>
      <c r="G116" s="2">
        <v>3</v>
      </c>
      <c r="H116" s="3">
        <v>500</v>
      </c>
      <c r="I116" s="3">
        <v>1500</v>
      </c>
      <c r="J116" s="2" t="str">
        <f t="shared" si="1"/>
        <v>45–54</v>
      </c>
      <c r="K116" t="str" cm="1">
        <f t="array" ref="K116">_xlfn.IFS(
  OR(MONTH(B116)=12, MONTH(B116)=1, MONTH(B116)=2), "Winter",
  OR(MONTH(B116)=3, MONTH(B116)=4, MONTH(B116)=5), "Spring",
  OR(MONTH(B116)=6, MONTH(B116)=7, MONTH(B116)=8), "Summer",
  OR(MONTH(B116)=9, MONTH(B116)=10, MONTH(B116)=11), "Fall"
)</f>
        <v>Fall</v>
      </c>
    </row>
    <row r="117" spans="1:11">
      <c r="A117">
        <v>116</v>
      </c>
      <c r="B117" s="1">
        <v>45161</v>
      </c>
      <c r="C117" t="s">
        <v>129</v>
      </c>
      <c r="D117" t="s">
        <v>13</v>
      </c>
      <c r="E117" s="2">
        <v>23</v>
      </c>
      <c r="F117" t="s">
        <v>14</v>
      </c>
      <c r="G117" s="2">
        <v>1</v>
      </c>
      <c r="H117" s="3">
        <v>30</v>
      </c>
      <c r="I117" s="3">
        <v>30</v>
      </c>
      <c r="J117" s="2" t="str">
        <f t="shared" si="1"/>
        <v>18–24</v>
      </c>
      <c r="K117" t="str" cm="1">
        <f t="array" ref="K117">_xlfn.IFS(
  OR(MONTH(B117)=12, MONTH(B117)=1, MONTH(B117)=2), "Winter",
  OR(MONTH(B117)=3, MONTH(B117)=4, MONTH(B117)=5), "Spring",
  OR(MONTH(B117)=6, MONTH(B117)=7, MONTH(B117)=8), "Summer",
  OR(MONTH(B117)=9, MONTH(B117)=10, MONTH(B117)=11), "Fall"
)</f>
        <v>Summer</v>
      </c>
    </row>
    <row r="118" spans="1:11">
      <c r="A118">
        <v>117</v>
      </c>
      <c r="B118" s="1">
        <v>45000</v>
      </c>
      <c r="C118" t="s">
        <v>130</v>
      </c>
      <c r="D118" t="s">
        <v>10</v>
      </c>
      <c r="E118" s="2">
        <v>19</v>
      </c>
      <c r="F118" t="s">
        <v>16</v>
      </c>
      <c r="G118" s="2">
        <v>2</v>
      </c>
      <c r="H118" s="3">
        <v>500</v>
      </c>
      <c r="I118" s="3">
        <v>1000</v>
      </c>
      <c r="J118" s="2" t="str">
        <f t="shared" si="1"/>
        <v>18–24</v>
      </c>
      <c r="K118" t="str" cm="1">
        <f t="array" ref="K118">_xlfn.IFS(
  OR(MONTH(B118)=12, MONTH(B118)=1, MONTH(B118)=2), "Winter",
  OR(MONTH(B118)=3, MONTH(B118)=4, MONTH(B118)=5), "Spring",
  OR(MONTH(B118)=6, MONTH(B118)=7, MONTH(B118)=8), "Summer",
  OR(MONTH(B118)=9, MONTH(B118)=10, MONTH(B118)=11), "Fall"
)</f>
        <v>Spring</v>
      </c>
    </row>
    <row r="119" spans="1:11">
      <c r="A119">
        <v>118</v>
      </c>
      <c r="B119" s="1">
        <v>45062</v>
      </c>
      <c r="C119" t="s">
        <v>131</v>
      </c>
      <c r="D119" t="s">
        <v>13</v>
      </c>
      <c r="E119" s="2">
        <v>30</v>
      </c>
      <c r="F119" t="s">
        <v>16</v>
      </c>
      <c r="G119" s="2">
        <v>4</v>
      </c>
      <c r="H119" s="3">
        <v>500</v>
      </c>
      <c r="I119" s="3">
        <v>2000</v>
      </c>
      <c r="J119" s="2" t="str">
        <f t="shared" si="1"/>
        <v>25–34</v>
      </c>
      <c r="K119" t="str" cm="1">
        <f t="array" ref="K119">_xlfn.IFS(
  OR(MONTH(B119)=12, MONTH(B119)=1, MONTH(B119)=2), "Winter",
  OR(MONTH(B119)=3, MONTH(B119)=4, MONTH(B119)=5), "Spring",
  OR(MONTH(B119)=6, MONTH(B119)=7, MONTH(B119)=8), "Summer",
  OR(MONTH(B119)=9, MONTH(B119)=10, MONTH(B119)=11), "Fall"
)</f>
        <v>Spring</v>
      </c>
    </row>
    <row r="120" spans="1:11">
      <c r="A120">
        <v>119</v>
      </c>
      <c r="B120" s="1">
        <v>44998</v>
      </c>
      <c r="C120" t="s">
        <v>132</v>
      </c>
      <c r="D120" t="s">
        <v>13</v>
      </c>
      <c r="E120" s="2">
        <v>60</v>
      </c>
      <c r="F120" t="s">
        <v>14</v>
      </c>
      <c r="G120" s="2">
        <v>3</v>
      </c>
      <c r="H120" s="3">
        <v>50</v>
      </c>
      <c r="I120" s="3">
        <v>150</v>
      </c>
      <c r="J120" s="2" t="str">
        <f t="shared" si="1"/>
        <v>55–64</v>
      </c>
      <c r="K120" t="str" cm="1">
        <f t="array" ref="K120">_xlfn.IFS(
  OR(MONTH(B120)=12, MONTH(B120)=1, MONTH(B120)=2), "Winter",
  OR(MONTH(B120)=3, MONTH(B120)=4, MONTH(B120)=5), "Spring",
  OR(MONTH(B120)=6, MONTH(B120)=7, MONTH(B120)=8), "Summer",
  OR(MONTH(B120)=9, MONTH(B120)=10, MONTH(B120)=11), "Fall"
)</f>
        <v>Spring</v>
      </c>
    </row>
    <row r="121" spans="1:11">
      <c r="A121">
        <v>120</v>
      </c>
      <c r="B121" s="1">
        <v>45053</v>
      </c>
      <c r="C121" t="s">
        <v>133</v>
      </c>
      <c r="D121" t="s">
        <v>10</v>
      </c>
      <c r="E121" s="2">
        <v>60</v>
      </c>
      <c r="F121" t="s">
        <v>11</v>
      </c>
      <c r="G121" s="2">
        <v>1</v>
      </c>
      <c r="H121" s="3">
        <v>50</v>
      </c>
      <c r="I121" s="3">
        <v>50</v>
      </c>
      <c r="J121" s="2" t="str">
        <f t="shared" si="1"/>
        <v>55–64</v>
      </c>
      <c r="K121" t="str" cm="1">
        <f t="array" ref="K121">_xlfn.IFS(
  OR(MONTH(B121)=12, MONTH(B121)=1, MONTH(B121)=2), "Winter",
  OR(MONTH(B121)=3, MONTH(B121)=4, MONTH(B121)=5), "Spring",
  OR(MONTH(B121)=6, MONTH(B121)=7, MONTH(B121)=8), "Summer",
  OR(MONTH(B121)=9, MONTH(B121)=10, MONTH(B121)=11), "Fall"
)</f>
        <v>Spring</v>
      </c>
    </row>
    <row r="122" spans="1:11">
      <c r="A122">
        <v>121</v>
      </c>
      <c r="B122" s="1">
        <v>45214</v>
      </c>
      <c r="C122" t="s">
        <v>134</v>
      </c>
      <c r="D122" t="s">
        <v>13</v>
      </c>
      <c r="E122" s="2">
        <v>28</v>
      </c>
      <c r="F122" t="s">
        <v>16</v>
      </c>
      <c r="G122" s="2">
        <v>4</v>
      </c>
      <c r="H122" s="3">
        <v>50</v>
      </c>
      <c r="I122" s="3">
        <v>200</v>
      </c>
      <c r="J122" s="2" t="str">
        <f t="shared" si="1"/>
        <v>25–34</v>
      </c>
      <c r="K122" t="str" cm="1">
        <f t="array" ref="K122">_xlfn.IFS(
  OR(MONTH(B122)=12, MONTH(B122)=1, MONTH(B122)=2), "Winter",
  OR(MONTH(B122)=3, MONTH(B122)=4, MONTH(B122)=5), "Spring",
  OR(MONTH(B122)=6, MONTH(B122)=7, MONTH(B122)=8), "Summer",
  OR(MONTH(B122)=9, MONTH(B122)=10, MONTH(B122)=11), "Fall"
)</f>
        <v>Fall</v>
      </c>
    </row>
    <row r="123" spans="1:11">
      <c r="A123">
        <v>122</v>
      </c>
      <c r="B123" s="1">
        <v>45202</v>
      </c>
      <c r="C123" t="s">
        <v>135</v>
      </c>
      <c r="D123" t="s">
        <v>10</v>
      </c>
      <c r="E123" s="2">
        <v>64</v>
      </c>
      <c r="F123" t="s">
        <v>16</v>
      </c>
      <c r="G123" s="2">
        <v>4</v>
      </c>
      <c r="H123" s="3">
        <v>30</v>
      </c>
      <c r="I123" s="3">
        <v>120</v>
      </c>
      <c r="J123" s="2" t="str">
        <f t="shared" si="1"/>
        <v>55–64</v>
      </c>
      <c r="K123" t="str" cm="1">
        <f t="array" ref="K123">_xlfn.IFS(
  OR(MONTH(B123)=12, MONTH(B123)=1, MONTH(B123)=2), "Winter",
  OR(MONTH(B123)=3, MONTH(B123)=4, MONTH(B123)=5), "Spring",
  OR(MONTH(B123)=6, MONTH(B123)=7, MONTH(B123)=8), "Summer",
  OR(MONTH(B123)=9, MONTH(B123)=10, MONTH(B123)=11), "Fall"
)</f>
        <v>Fall</v>
      </c>
    </row>
    <row r="124" spans="1:11">
      <c r="A124">
        <v>123</v>
      </c>
      <c r="B124" s="1">
        <v>45061</v>
      </c>
      <c r="C124" t="s">
        <v>136</v>
      </c>
      <c r="D124" t="s">
        <v>13</v>
      </c>
      <c r="E124" s="2">
        <v>40</v>
      </c>
      <c r="F124" t="s">
        <v>16</v>
      </c>
      <c r="G124" s="2">
        <v>2</v>
      </c>
      <c r="H124" s="3">
        <v>30</v>
      </c>
      <c r="I124" s="3">
        <v>60</v>
      </c>
      <c r="J124" s="2" t="str">
        <f t="shared" si="1"/>
        <v>35–44</v>
      </c>
      <c r="K124" t="str" cm="1">
        <f t="array" ref="K124">_xlfn.IFS(
  OR(MONTH(B124)=12, MONTH(B124)=1, MONTH(B124)=2), "Winter",
  OR(MONTH(B124)=3, MONTH(B124)=4, MONTH(B124)=5), "Spring",
  OR(MONTH(B124)=6, MONTH(B124)=7, MONTH(B124)=8), "Summer",
  OR(MONTH(B124)=9, MONTH(B124)=10, MONTH(B124)=11), "Fall"
)</f>
        <v>Spring</v>
      </c>
    </row>
    <row r="125" spans="1:11">
      <c r="A125">
        <v>124</v>
      </c>
      <c r="B125" s="1">
        <v>45226</v>
      </c>
      <c r="C125" t="s">
        <v>137</v>
      </c>
      <c r="D125" t="s">
        <v>10</v>
      </c>
      <c r="E125" s="2">
        <v>33</v>
      </c>
      <c r="F125" t="s">
        <v>14</v>
      </c>
      <c r="G125" s="2">
        <v>4</v>
      </c>
      <c r="H125" s="3">
        <v>500</v>
      </c>
      <c r="I125" s="3">
        <v>2000</v>
      </c>
      <c r="J125" s="2" t="str">
        <f t="shared" si="1"/>
        <v>25–34</v>
      </c>
      <c r="K125" t="str" cm="1">
        <f t="array" ref="K125">_xlfn.IFS(
  OR(MONTH(B125)=12, MONTH(B125)=1, MONTH(B125)=2), "Winter",
  OR(MONTH(B125)=3, MONTH(B125)=4, MONTH(B125)=5), "Spring",
  OR(MONTH(B125)=6, MONTH(B125)=7, MONTH(B125)=8), "Summer",
  OR(MONTH(B125)=9, MONTH(B125)=10, MONTH(B125)=11), "Fall"
)</f>
        <v>Fall</v>
      </c>
    </row>
    <row r="126" spans="1:11">
      <c r="A126">
        <v>125</v>
      </c>
      <c r="B126" s="1">
        <v>45146</v>
      </c>
      <c r="C126" t="s">
        <v>138</v>
      </c>
      <c r="D126" t="s">
        <v>10</v>
      </c>
      <c r="E126" s="2">
        <v>48</v>
      </c>
      <c r="F126" t="s">
        <v>14</v>
      </c>
      <c r="G126" s="2">
        <v>2</v>
      </c>
      <c r="H126" s="3">
        <v>50</v>
      </c>
      <c r="I126" s="3">
        <v>100</v>
      </c>
      <c r="J126" s="2" t="str">
        <f t="shared" si="1"/>
        <v>45–54</v>
      </c>
      <c r="K126" t="str" cm="1">
        <f t="array" ref="K126">_xlfn.IFS(
  OR(MONTH(B126)=12, MONTH(B126)=1, MONTH(B126)=2), "Winter",
  OR(MONTH(B126)=3, MONTH(B126)=4, MONTH(B126)=5), "Spring",
  OR(MONTH(B126)=6, MONTH(B126)=7, MONTH(B126)=8), "Summer",
  OR(MONTH(B126)=9, MONTH(B126)=10, MONTH(B126)=11), "Fall"
)</f>
        <v>Summer</v>
      </c>
    </row>
    <row r="127" spans="1:11">
      <c r="A127">
        <v>126</v>
      </c>
      <c r="B127" s="1">
        <v>45225</v>
      </c>
      <c r="C127" t="s">
        <v>139</v>
      </c>
      <c r="D127" t="s">
        <v>13</v>
      </c>
      <c r="E127" s="2">
        <v>28</v>
      </c>
      <c r="F127" t="s">
        <v>14</v>
      </c>
      <c r="G127" s="2">
        <v>3</v>
      </c>
      <c r="H127" s="3">
        <v>30</v>
      </c>
      <c r="I127" s="3">
        <v>90</v>
      </c>
      <c r="J127" s="2" t="str">
        <f t="shared" si="1"/>
        <v>25–34</v>
      </c>
      <c r="K127" t="str" cm="1">
        <f t="array" ref="K127">_xlfn.IFS(
  OR(MONTH(B127)=12, MONTH(B127)=1, MONTH(B127)=2), "Winter",
  OR(MONTH(B127)=3, MONTH(B127)=4, MONTH(B127)=5), "Spring",
  OR(MONTH(B127)=6, MONTH(B127)=7, MONTH(B127)=8), "Summer",
  OR(MONTH(B127)=9, MONTH(B127)=10, MONTH(B127)=11), "Fall"
)</f>
        <v>Fall</v>
      </c>
    </row>
    <row r="128" spans="1:11">
      <c r="A128">
        <v>127</v>
      </c>
      <c r="B128" s="1">
        <v>45131</v>
      </c>
      <c r="C128" t="s">
        <v>140</v>
      </c>
      <c r="D128" t="s">
        <v>13</v>
      </c>
      <c r="E128" s="2">
        <v>33</v>
      </c>
      <c r="F128" t="s">
        <v>14</v>
      </c>
      <c r="G128" s="2">
        <v>2</v>
      </c>
      <c r="H128" s="3">
        <v>25</v>
      </c>
      <c r="I128" s="3">
        <v>50</v>
      </c>
      <c r="J128" s="2" t="str">
        <f t="shared" si="1"/>
        <v>25–34</v>
      </c>
      <c r="K128" t="str" cm="1">
        <f t="array" ref="K128">_xlfn.IFS(
  OR(MONTH(B128)=12, MONTH(B128)=1, MONTH(B128)=2), "Winter",
  OR(MONTH(B128)=3, MONTH(B128)=4, MONTH(B128)=5), "Spring",
  OR(MONTH(B128)=6, MONTH(B128)=7, MONTH(B128)=8), "Summer",
  OR(MONTH(B128)=9, MONTH(B128)=10, MONTH(B128)=11), "Fall"
)</f>
        <v>Summer</v>
      </c>
    </row>
    <row r="129" spans="1:11">
      <c r="A129">
        <v>128</v>
      </c>
      <c r="B129" s="1">
        <v>45112</v>
      </c>
      <c r="C129" t="s">
        <v>141</v>
      </c>
      <c r="D129" t="s">
        <v>10</v>
      </c>
      <c r="E129" s="2">
        <v>25</v>
      </c>
      <c r="F129" t="s">
        <v>11</v>
      </c>
      <c r="G129" s="2">
        <v>1</v>
      </c>
      <c r="H129" s="3">
        <v>500</v>
      </c>
      <c r="I129" s="3">
        <v>500</v>
      </c>
      <c r="J129" s="2" t="str">
        <f t="shared" si="1"/>
        <v>25–34</v>
      </c>
      <c r="K129" t="str" cm="1">
        <f t="array" ref="K129">_xlfn.IFS(
  OR(MONTH(B129)=12, MONTH(B129)=1, MONTH(B129)=2), "Winter",
  OR(MONTH(B129)=3, MONTH(B129)=4, MONTH(B129)=5), "Spring",
  OR(MONTH(B129)=6, MONTH(B129)=7, MONTH(B129)=8), "Summer",
  OR(MONTH(B129)=9, MONTH(B129)=10, MONTH(B129)=11), "Fall"
)</f>
        <v>Summer</v>
      </c>
    </row>
    <row r="130" spans="1:11">
      <c r="A130">
        <v>129</v>
      </c>
      <c r="B130" s="1">
        <v>45039</v>
      </c>
      <c r="C130" t="s">
        <v>142</v>
      </c>
      <c r="D130" t="s">
        <v>13</v>
      </c>
      <c r="E130" s="2">
        <v>21</v>
      </c>
      <c r="F130" t="s">
        <v>11</v>
      </c>
      <c r="G130" s="2">
        <v>2</v>
      </c>
      <c r="H130" s="3">
        <v>300</v>
      </c>
      <c r="I130" s="3">
        <v>600</v>
      </c>
      <c r="J130" s="2" t="str">
        <f t="shared" ref="J130:J193" si="2">IF(AND(E130&gt;=18, E130&lt;=24), "18–24",
 IF(AND(E130&gt;=25, E130&lt;=34), "25–34",
 IF(AND(E130&gt;=35, E130&lt;=44), "35–44",
 IF(AND(E130&gt;=45, E130&lt;=54), "45–54",
 IF(AND(E130&gt;=55, E130&lt;=64), "55–64", "Other")))))</f>
        <v>18–24</v>
      </c>
      <c r="K130" t="str" cm="1">
        <f t="array" ref="K130">_xlfn.IFS(
  OR(MONTH(B130)=12, MONTH(B130)=1, MONTH(B130)=2), "Winter",
  OR(MONTH(B130)=3, MONTH(B130)=4, MONTH(B130)=5), "Spring",
  OR(MONTH(B130)=6, MONTH(B130)=7, MONTH(B130)=8), "Summer",
  OR(MONTH(B130)=9, MONTH(B130)=10, MONTH(B130)=11), "Fall"
)</f>
        <v>Spring</v>
      </c>
    </row>
    <row r="131" spans="1:11">
      <c r="A131">
        <v>130</v>
      </c>
      <c r="B131" s="1">
        <v>44997</v>
      </c>
      <c r="C131" t="s">
        <v>143</v>
      </c>
      <c r="D131" t="s">
        <v>13</v>
      </c>
      <c r="E131" s="2">
        <v>57</v>
      </c>
      <c r="F131" t="s">
        <v>14</v>
      </c>
      <c r="G131" s="2">
        <v>1</v>
      </c>
      <c r="H131" s="3">
        <v>500</v>
      </c>
      <c r="I131" s="3">
        <v>500</v>
      </c>
      <c r="J131" s="2" t="str">
        <f t="shared" si="2"/>
        <v>55–64</v>
      </c>
      <c r="K131" t="str" cm="1">
        <f t="array" ref="K131">_xlfn.IFS(
  OR(MONTH(B131)=12, MONTH(B131)=1, MONTH(B131)=2), "Winter",
  OR(MONTH(B131)=3, MONTH(B131)=4, MONTH(B131)=5), "Spring",
  OR(MONTH(B131)=6, MONTH(B131)=7, MONTH(B131)=8), "Summer",
  OR(MONTH(B131)=9, MONTH(B131)=10, MONTH(B131)=11), "Fall"
)</f>
        <v>Spring</v>
      </c>
    </row>
    <row r="132" spans="1:11">
      <c r="A132">
        <v>131</v>
      </c>
      <c r="B132" s="1">
        <v>45187</v>
      </c>
      <c r="C132" t="s">
        <v>144</v>
      </c>
      <c r="D132" t="s">
        <v>13</v>
      </c>
      <c r="E132" s="2">
        <v>21</v>
      </c>
      <c r="F132" t="s">
        <v>11</v>
      </c>
      <c r="G132" s="2">
        <v>2</v>
      </c>
      <c r="H132" s="3">
        <v>300</v>
      </c>
      <c r="I132" s="3">
        <v>600</v>
      </c>
      <c r="J132" s="2" t="str">
        <f t="shared" si="2"/>
        <v>18–24</v>
      </c>
      <c r="K132" t="str" cm="1">
        <f t="array" ref="K132">_xlfn.IFS(
  OR(MONTH(B132)=12, MONTH(B132)=1, MONTH(B132)=2), "Winter",
  OR(MONTH(B132)=3, MONTH(B132)=4, MONTH(B132)=5), "Spring",
  OR(MONTH(B132)=6, MONTH(B132)=7, MONTH(B132)=8), "Summer",
  OR(MONTH(B132)=9, MONTH(B132)=10, MONTH(B132)=11), "Fall"
)</f>
        <v>Fall</v>
      </c>
    </row>
    <row r="133" spans="1:11">
      <c r="A133">
        <v>132</v>
      </c>
      <c r="B133" s="1">
        <v>45179</v>
      </c>
      <c r="C133" t="s">
        <v>145</v>
      </c>
      <c r="D133" t="s">
        <v>10</v>
      </c>
      <c r="E133" s="2">
        <v>42</v>
      </c>
      <c r="F133" t="s">
        <v>16</v>
      </c>
      <c r="G133" s="2">
        <v>4</v>
      </c>
      <c r="H133" s="3">
        <v>50</v>
      </c>
      <c r="I133" s="3">
        <v>200</v>
      </c>
      <c r="J133" s="2" t="str">
        <f t="shared" si="2"/>
        <v>35–44</v>
      </c>
      <c r="K133" t="str" cm="1">
        <f t="array" ref="K133">_xlfn.IFS(
  OR(MONTH(B133)=12, MONTH(B133)=1, MONTH(B133)=2), "Winter",
  OR(MONTH(B133)=3, MONTH(B133)=4, MONTH(B133)=5), "Spring",
  OR(MONTH(B133)=6, MONTH(B133)=7, MONTH(B133)=8), "Summer",
  OR(MONTH(B133)=9, MONTH(B133)=10, MONTH(B133)=11), "Fall"
)</f>
        <v>Fall</v>
      </c>
    </row>
    <row r="134" spans="1:11">
      <c r="A134">
        <v>133</v>
      </c>
      <c r="B134" s="1">
        <v>44973</v>
      </c>
      <c r="C134" t="s">
        <v>146</v>
      </c>
      <c r="D134" t="s">
        <v>10</v>
      </c>
      <c r="E134" s="2">
        <v>20</v>
      </c>
      <c r="F134" t="s">
        <v>16</v>
      </c>
      <c r="G134" s="2">
        <v>3</v>
      </c>
      <c r="H134" s="3">
        <v>300</v>
      </c>
      <c r="I134" s="3">
        <v>900</v>
      </c>
      <c r="J134" s="2" t="str">
        <f t="shared" si="2"/>
        <v>18–24</v>
      </c>
      <c r="K134" t="str" cm="1">
        <f t="array" ref="K134">_xlfn.IFS(
  OR(MONTH(B134)=12, MONTH(B134)=1, MONTH(B134)=2), "Winter",
  OR(MONTH(B134)=3, MONTH(B134)=4, MONTH(B134)=5), "Spring",
  OR(MONTH(B134)=6, MONTH(B134)=7, MONTH(B134)=8), "Summer",
  OR(MONTH(B134)=9, MONTH(B134)=10, MONTH(B134)=11), "Fall"
)</f>
        <v>Winter</v>
      </c>
    </row>
    <row r="135" spans="1:11">
      <c r="A135">
        <v>134</v>
      </c>
      <c r="B135" s="1">
        <v>44951</v>
      </c>
      <c r="C135" t="s">
        <v>147</v>
      </c>
      <c r="D135" t="s">
        <v>10</v>
      </c>
      <c r="E135" s="2">
        <v>49</v>
      </c>
      <c r="F135" t="s">
        <v>16</v>
      </c>
      <c r="G135" s="2">
        <v>1</v>
      </c>
      <c r="H135" s="3">
        <v>50</v>
      </c>
      <c r="I135" s="3">
        <v>50</v>
      </c>
      <c r="J135" s="2" t="str">
        <f t="shared" si="2"/>
        <v>45–54</v>
      </c>
      <c r="K135" t="str" cm="1">
        <f t="array" ref="K135">_xlfn.IFS(
  OR(MONTH(B135)=12, MONTH(B135)=1, MONTH(B135)=2), "Winter",
  OR(MONTH(B135)=3, MONTH(B135)=4, MONTH(B135)=5), "Spring",
  OR(MONTH(B135)=6, MONTH(B135)=7, MONTH(B135)=8), "Summer",
  OR(MONTH(B135)=9, MONTH(B135)=10, MONTH(B135)=11), "Fall"
)</f>
        <v>Winter</v>
      </c>
    </row>
    <row r="136" spans="1:11">
      <c r="A136">
        <v>135</v>
      </c>
      <c r="B136" s="1">
        <v>44983</v>
      </c>
      <c r="C136" t="s">
        <v>148</v>
      </c>
      <c r="D136" t="s">
        <v>10</v>
      </c>
      <c r="E136" s="2">
        <v>20</v>
      </c>
      <c r="F136" t="s">
        <v>14</v>
      </c>
      <c r="G136" s="2">
        <v>2</v>
      </c>
      <c r="H136" s="3">
        <v>25</v>
      </c>
      <c r="I136" s="3">
        <v>50</v>
      </c>
      <c r="J136" s="2" t="str">
        <f t="shared" si="2"/>
        <v>18–24</v>
      </c>
      <c r="K136" t="str" cm="1">
        <f t="array" ref="K136">_xlfn.IFS(
  OR(MONTH(B136)=12, MONTH(B136)=1, MONTH(B136)=2), "Winter",
  OR(MONTH(B136)=3, MONTH(B136)=4, MONTH(B136)=5), "Spring",
  OR(MONTH(B136)=6, MONTH(B136)=7, MONTH(B136)=8), "Summer",
  OR(MONTH(B136)=9, MONTH(B136)=10, MONTH(B136)=11), "Fall"
)</f>
        <v>Winter</v>
      </c>
    </row>
    <row r="137" spans="1:11">
      <c r="A137">
        <v>136</v>
      </c>
      <c r="B137" s="1">
        <v>45005</v>
      </c>
      <c r="C137" t="s">
        <v>149</v>
      </c>
      <c r="D137" t="s">
        <v>10</v>
      </c>
      <c r="E137" s="2">
        <v>44</v>
      </c>
      <c r="F137" t="s">
        <v>16</v>
      </c>
      <c r="G137" s="2">
        <v>2</v>
      </c>
      <c r="H137" s="3">
        <v>300</v>
      </c>
      <c r="I137" s="3">
        <v>600</v>
      </c>
      <c r="J137" s="2" t="str">
        <f t="shared" si="2"/>
        <v>35–44</v>
      </c>
      <c r="K137" t="str" cm="1">
        <f t="array" ref="K137">_xlfn.IFS(
  OR(MONTH(B137)=12, MONTH(B137)=1, MONTH(B137)=2), "Winter",
  OR(MONTH(B137)=3, MONTH(B137)=4, MONTH(B137)=5), "Spring",
  OR(MONTH(B137)=6, MONTH(B137)=7, MONTH(B137)=8), "Summer",
  OR(MONTH(B137)=9, MONTH(B137)=10, MONTH(B137)=11), "Fall"
)</f>
        <v>Spring</v>
      </c>
    </row>
    <row r="138" spans="1:11">
      <c r="A138">
        <v>137</v>
      </c>
      <c r="B138" s="1">
        <v>45248</v>
      </c>
      <c r="C138" t="s">
        <v>150</v>
      </c>
      <c r="D138" t="s">
        <v>10</v>
      </c>
      <c r="E138" s="2">
        <v>46</v>
      </c>
      <c r="F138" t="s">
        <v>11</v>
      </c>
      <c r="G138" s="2">
        <v>2</v>
      </c>
      <c r="H138" s="3">
        <v>500</v>
      </c>
      <c r="I138" s="3">
        <v>1000</v>
      </c>
      <c r="J138" s="2" t="str">
        <f t="shared" si="2"/>
        <v>45–54</v>
      </c>
      <c r="K138" t="str" cm="1">
        <f t="array" ref="K138">_xlfn.IFS(
  OR(MONTH(B138)=12, MONTH(B138)=1, MONTH(B138)=2), "Winter",
  OR(MONTH(B138)=3, MONTH(B138)=4, MONTH(B138)=5), "Spring",
  OR(MONTH(B138)=6, MONTH(B138)=7, MONTH(B138)=8), "Summer",
  OR(MONTH(B138)=9, MONTH(B138)=10, MONTH(B138)=11), "Fall"
)</f>
        <v>Fall</v>
      </c>
    </row>
    <row r="139" spans="1:11">
      <c r="A139">
        <v>138</v>
      </c>
      <c r="B139" s="1">
        <v>45008</v>
      </c>
      <c r="C139" t="s">
        <v>151</v>
      </c>
      <c r="D139" t="s">
        <v>10</v>
      </c>
      <c r="E139" s="2">
        <v>49</v>
      </c>
      <c r="F139" t="s">
        <v>14</v>
      </c>
      <c r="G139" s="2">
        <v>4</v>
      </c>
      <c r="H139" s="3">
        <v>50</v>
      </c>
      <c r="I139" s="3">
        <v>200</v>
      </c>
      <c r="J139" s="2" t="str">
        <f t="shared" si="2"/>
        <v>45–54</v>
      </c>
      <c r="K139" t="str" cm="1">
        <f t="array" ref="K139">_xlfn.IFS(
  OR(MONTH(B139)=12, MONTH(B139)=1, MONTH(B139)=2), "Winter",
  OR(MONTH(B139)=3, MONTH(B139)=4, MONTH(B139)=5), "Spring",
  OR(MONTH(B139)=6, MONTH(B139)=7, MONTH(B139)=8), "Summer",
  OR(MONTH(B139)=9, MONTH(B139)=10, MONTH(B139)=11), "Fall"
)</f>
        <v>Spring</v>
      </c>
    </row>
    <row r="140" spans="1:11">
      <c r="A140">
        <v>139</v>
      </c>
      <c r="B140" s="1">
        <v>45275</v>
      </c>
      <c r="C140" t="s">
        <v>152</v>
      </c>
      <c r="D140" t="s">
        <v>10</v>
      </c>
      <c r="E140" s="2">
        <v>36</v>
      </c>
      <c r="F140" t="s">
        <v>11</v>
      </c>
      <c r="G140" s="2">
        <v>4</v>
      </c>
      <c r="H140" s="3">
        <v>500</v>
      </c>
      <c r="I140" s="3">
        <v>2000</v>
      </c>
      <c r="J140" s="2" t="str">
        <f t="shared" si="2"/>
        <v>35–44</v>
      </c>
      <c r="K140" t="str" cm="1">
        <f t="array" ref="K140">_xlfn.IFS(
  OR(MONTH(B140)=12, MONTH(B140)=1, MONTH(B140)=2), "Winter",
  OR(MONTH(B140)=3, MONTH(B140)=4, MONTH(B140)=5), "Spring",
  OR(MONTH(B140)=6, MONTH(B140)=7, MONTH(B140)=8), "Summer",
  OR(MONTH(B140)=9, MONTH(B140)=10, MONTH(B140)=11), "Fall"
)</f>
        <v>Winter</v>
      </c>
    </row>
    <row r="141" spans="1:11">
      <c r="A141">
        <v>140</v>
      </c>
      <c r="B141" s="1">
        <v>45143</v>
      </c>
      <c r="C141" t="s">
        <v>153</v>
      </c>
      <c r="D141" t="s">
        <v>10</v>
      </c>
      <c r="E141" s="2">
        <v>38</v>
      </c>
      <c r="F141" t="s">
        <v>16</v>
      </c>
      <c r="G141" s="2">
        <v>1</v>
      </c>
      <c r="H141" s="3">
        <v>30</v>
      </c>
      <c r="I141" s="3">
        <v>30</v>
      </c>
      <c r="J141" s="2" t="str">
        <f t="shared" si="2"/>
        <v>35–44</v>
      </c>
      <c r="K141" t="str" cm="1">
        <f t="array" ref="K141">_xlfn.IFS(
  OR(MONTH(B141)=12, MONTH(B141)=1, MONTH(B141)=2), "Winter",
  OR(MONTH(B141)=3, MONTH(B141)=4, MONTH(B141)=5), "Spring",
  OR(MONTH(B141)=6, MONTH(B141)=7, MONTH(B141)=8), "Summer",
  OR(MONTH(B141)=9, MONTH(B141)=10, MONTH(B141)=11), "Fall"
)</f>
        <v>Summer</v>
      </c>
    </row>
    <row r="142" spans="1:11">
      <c r="A142">
        <v>141</v>
      </c>
      <c r="B142" s="1">
        <v>45232</v>
      </c>
      <c r="C142" t="s">
        <v>154</v>
      </c>
      <c r="D142" t="s">
        <v>13</v>
      </c>
      <c r="E142" s="2">
        <v>22</v>
      </c>
      <c r="F142" t="s">
        <v>16</v>
      </c>
      <c r="G142" s="2">
        <v>1</v>
      </c>
      <c r="H142" s="3">
        <v>50</v>
      </c>
      <c r="I142" s="3">
        <v>50</v>
      </c>
      <c r="J142" s="2" t="str">
        <f t="shared" si="2"/>
        <v>18–24</v>
      </c>
      <c r="K142" t="str" cm="1">
        <f t="array" ref="K142">_xlfn.IFS(
  OR(MONTH(B142)=12, MONTH(B142)=1, MONTH(B142)=2), "Winter",
  OR(MONTH(B142)=3, MONTH(B142)=4, MONTH(B142)=5), "Spring",
  OR(MONTH(B142)=6, MONTH(B142)=7, MONTH(B142)=8), "Summer",
  OR(MONTH(B142)=9, MONTH(B142)=10, MONTH(B142)=11), "Fall"
)</f>
        <v>Fall</v>
      </c>
    </row>
    <row r="143" spans="1:11">
      <c r="A143">
        <v>142</v>
      </c>
      <c r="B143" s="1">
        <v>44959</v>
      </c>
      <c r="C143" t="s">
        <v>155</v>
      </c>
      <c r="D143" t="s">
        <v>10</v>
      </c>
      <c r="E143" s="2">
        <v>35</v>
      </c>
      <c r="F143" t="s">
        <v>16</v>
      </c>
      <c r="G143" s="2">
        <v>4</v>
      </c>
      <c r="H143" s="3">
        <v>300</v>
      </c>
      <c r="I143" s="3">
        <v>1200</v>
      </c>
      <c r="J143" s="2" t="str">
        <f t="shared" si="2"/>
        <v>35–44</v>
      </c>
      <c r="K143" t="str" cm="1">
        <f t="array" ref="K143">_xlfn.IFS(
  OR(MONTH(B143)=12, MONTH(B143)=1, MONTH(B143)=2), "Winter",
  OR(MONTH(B143)=3, MONTH(B143)=4, MONTH(B143)=5), "Spring",
  OR(MONTH(B143)=6, MONTH(B143)=7, MONTH(B143)=8), "Summer",
  OR(MONTH(B143)=9, MONTH(B143)=10, MONTH(B143)=11), "Fall"
)</f>
        <v>Winter</v>
      </c>
    </row>
    <row r="144" spans="1:11">
      <c r="A144">
        <v>143</v>
      </c>
      <c r="B144" s="1">
        <v>45124</v>
      </c>
      <c r="C144" t="s">
        <v>156</v>
      </c>
      <c r="D144" t="s">
        <v>13</v>
      </c>
      <c r="E144" s="2">
        <v>45</v>
      </c>
      <c r="F144" t="s">
        <v>14</v>
      </c>
      <c r="G144" s="2">
        <v>1</v>
      </c>
      <c r="H144" s="3">
        <v>50</v>
      </c>
      <c r="I144" s="3">
        <v>50</v>
      </c>
      <c r="J144" s="2" t="str">
        <f t="shared" si="2"/>
        <v>45–54</v>
      </c>
      <c r="K144" t="str" cm="1">
        <f t="array" ref="K144">_xlfn.IFS(
  OR(MONTH(B144)=12, MONTH(B144)=1, MONTH(B144)=2), "Winter",
  OR(MONTH(B144)=3, MONTH(B144)=4, MONTH(B144)=5), "Spring",
  OR(MONTH(B144)=6, MONTH(B144)=7, MONTH(B144)=8), "Summer",
  OR(MONTH(B144)=9, MONTH(B144)=10, MONTH(B144)=11), "Fall"
)</f>
        <v>Summer</v>
      </c>
    </row>
    <row r="145" spans="1:11">
      <c r="A145">
        <v>144</v>
      </c>
      <c r="B145" s="1">
        <v>45122</v>
      </c>
      <c r="C145" t="s">
        <v>157</v>
      </c>
      <c r="D145" t="s">
        <v>13</v>
      </c>
      <c r="E145" s="2">
        <v>59</v>
      </c>
      <c r="F145" t="s">
        <v>11</v>
      </c>
      <c r="G145" s="2">
        <v>3</v>
      </c>
      <c r="H145" s="3">
        <v>500</v>
      </c>
      <c r="I145" s="3">
        <v>1500</v>
      </c>
      <c r="J145" s="2" t="str">
        <f t="shared" si="2"/>
        <v>55–64</v>
      </c>
      <c r="K145" t="str" cm="1">
        <f t="array" ref="K145">_xlfn.IFS(
  OR(MONTH(B145)=12, MONTH(B145)=1, MONTH(B145)=2), "Winter",
  OR(MONTH(B145)=3, MONTH(B145)=4, MONTH(B145)=5), "Spring",
  OR(MONTH(B145)=6, MONTH(B145)=7, MONTH(B145)=8), "Summer",
  OR(MONTH(B145)=9, MONTH(B145)=10, MONTH(B145)=11), "Fall"
)</f>
        <v>Summer</v>
      </c>
    </row>
    <row r="146" spans="1:11">
      <c r="A146">
        <v>145</v>
      </c>
      <c r="B146" s="1">
        <v>45232</v>
      </c>
      <c r="C146" t="s">
        <v>158</v>
      </c>
      <c r="D146" t="s">
        <v>13</v>
      </c>
      <c r="E146" s="2">
        <v>39</v>
      </c>
      <c r="F146" t="s">
        <v>14</v>
      </c>
      <c r="G146" s="2">
        <v>3</v>
      </c>
      <c r="H146" s="3">
        <v>25</v>
      </c>
      <c r="I146" s="3">
        <v>75</v>
      </c>
      <c r="J146" s="2" t="str">
        <f t="shared" si="2"/>
        <v>35–44</v>
      </c>
      <c r="K146" t="str" cm="1">
        <f t="array" ref="K146">_xlfn.IFS(
  OR(MONTH(B146)=12, MONTH(B146)=1, MONTH(B146)=2), "Winter",
  OR(MONTH(B146)=3, MONTH(B146)=4, MONTH(B146)=5), "Spring",
  OR(MONTH(B146)=6, MONTH(B146)=7, MONTH(B146)=8), "Summer",
  OR(MONTH(B146)=9, MONTH(B146)=10, MONTH(B146)=11), "Fall"
)</f>
        <v>Fall</v>
      </c>
    </row>
    <row r="147" spans="1:11">
      <c r="A147">
        <v>146</v>
      </c>
      <c r="B147" s="1">
        <v>45166</v>
      </c>
      <c r="C147" t="s">
        <v>159</v>
      </c>
      <c r="D147" t="s">
        <v>10</v>
      </c>
      <c r="E147" s="2">
        <v>38</v>
      </c>
      <c r="F147" t="s">
        <v>14</v>
      </c>
      <c r="G147" s="2">
        <v>4</v>
      </c>
      <c r="H147" s="3">
        <v>50</v>
      </c>
      <c r="I147" s="3">
        <v>200</v>
      </c>
      <c r="J147" s="2" t="str">
        <f t="shared" si="2"/>
        <v>35–44</v>
      </c>
      <c r="K147" t="str" cm="1">
        <f t="array" ref="K147">_xlfn.IFS(
  OR(MONTH(B147)=12, MONTH(B147)=1, MONTH(B147)=2), "Winter",
  OR(MONTH(B147)=3, MONTH(B147)=4, MONTH(B147)=5), "Spring",
  OR(MONTH(B147)=6, MONTH(B147)=7, MONTH(B147)=8), "Summer",
  OR(MONTH(B147)=9, MONTH(B147)=10, MONTH(B147)=11), "Fall"
)</f>
        <v>Summer</v>
      </c>
    </row>
    <row r="148" spans="1:11">
      <c r="A148">
        <v>147</v>
      </c>
      <c r="B148" s="1">
        <v>45197</v>
      </c>
      <c r="C148" t="s">
        <v>160</v>
      </c>
      <c r="D148" t="s">
        <v>10</v>
      </c>
      <c r="E148" s="2">
        <v>23</v>
      </c>
      <c r="F148" t="s">
        <v>16</v>
      </c>
      <c r="G148" s="2">
        <v>1</v>
      </c>
      <c r="H148" s="3">
        <v>300</v>
      </c>
      <c r="I148" s="3">
        <v>300</v>
      </c>
      <c r="J148" s="2" t="str">
        <f t="shared" si="2"/>
        <v>18–24</v>
      </c>
      <c r="K148" t="str" cm="1">
        <f t="array" ref="K148">_xlfn.IFS(
  OR(MONTH(B148)=12, MONTH(B148)=1, MONTH(B148)=2), "Winter",
  OR(MONTH(B148)=3, MONTH(B148)=4, MONTH(B148)=5), "Spring",
  OR(MONTH(B148)=6, MONTH(B148)=7, MONTH(B148)=8), "Summer",
  OR(MONTH(B148)=9, MONTH(B148)=10, MONTH(B148)=11), "Fall"
)</f>
        <v>Fall</v>
      </c>
    </row>
    <row r="149" spans="1:11">
      <c r="A149">
        <v>148</v>
      </c>
      <c r="B149" s="1">
        <v>45055</v>
      </c>
      <c r="C149" t="s">
        <v>161</v>
      </c>
      <c r="D149" t="s">
        <v>10</v>
      </c>
      <c r="E149" s="2">
        <v>18</v>
      </c>
      <c r="F149" t="s">
        <v>14</v>
      </c>
      <c r="G149" s="2">
        <v>2</v>
      </c>
      <c r="H149" s="3">
        <v>30</v>
      </c>
      <c r="I149" s="3">
        <v>60</v>
      </c>
      <c r="J149" s="2" t="str">
        <f t="shared" si="2"/>
        <v>18–24</v>
      </c>
      <c r="K149" t="str" cm="1">
        <f t="array" ref="K149">_xlfn.IFS(
  OR(MONTH(B149)=12, MONTH(B149)=1, MONTH(B149)=2), "Winter",
  OR(MONTH(B149)=3, MONTH(B149)=4, MONTH(B149)=5), "Spring",
  OR(MONTH(B149)=6, MONTH(B149)=7, MONTH(B149)=8), "Summer",
  OR(MONTH(B149)=9, MONTH(B149)=10, MONTH(B149)=11), "Fall"
)</f>
        <v>Spring</v>
      </c>
    </row>
    <row r="150" spans="1:11">
      <c r="A150">
        <v>149</v>
      </c>
      <c r="B150" s="1">
        <v>45210</v>
      </c>
      <c r="C150" t="s">
        <v>162</v>
      </c>
      <c r="D150" t="s">
        <v>10</v>
      </c>
      <c r="E150" s="2">
        <v>22</v>
      </c>
      <c r="F150" t="s">
        <v>14</v>
      </c>
      <c r="G150" s="2">
        <v>3</v>
      </c>
      <c r="H150" s="3">
        <v>25</v>
      </c>
      <c r="I150" s="3">
        <v>75</v>
      </c>
      <c r="J150" s="2" t="str">
        <f t="shared" si="2"/>
        <v>18–24</v>
      </c>
      <c r="K150" t="str" cm="1">
        <f t="array" ref="K150">_xlfn.IFS(
  OR(MONTH(B150)=12, MONTH(B150)=1, MONTH(B150)=2), "Winter",
  OR(MONTH(B150)=3, MONTH(B150)=4, MONTH(B150)=5), "Spring",
  OR(MONTH(B150)=6, MONTH(B150)=7, MONTH(B150)=8), "Summer",
  OR(MONTH(B150)=9, MONTH(B150)=10, MONTH(B150)=11), "Fall"
)</f>
        <v>Fall</v>
      </c>
    </row>
    <row r="151" spans="1:11">
      <c r="A151">
        <v>150</v>
      </c>
      <c r="B151" s="1">
        <v>44932</v>
      </c>
      <c r="C151" t="s">
        <v>163</v>
      </c>
      <c r="D151" t="s">
        <v>13</v>
      </c>
      <c r="E151" s="2">
        <v>58</v>
      </c>
      <c r="F151" t="s">
        <v>16</v>
      </c>
      <c r="G151" s="2">
        <v>4</v>
      </c>
      <c r="H151" s="3">
        <v>30</v>
      </c>
      <c r="I151" s="3">
        <v>120</v>
      </c>
      <c r="J151" s="2" t="str">
        <f t="shared" si="2"/>
        <v>55–64</v>
      </c>
      <c r="K151" t="str" cm="1">
        <f t="array" ref="K151">_xlfn.IFS(
  OR(MONTH(B151)=12, MONTH(B151)=1, MONTH(B151)=2), "Winter",
  OR(MONTH(B151)=3, MONTH(B151)=4, MONTH(B151)=5), "Spring",
  OR(MONTH(B151)=6, MONTH(B151)=7, MONTH(B151)=8), "Summer",
  OR(MONTH(B151)=9, MONTH(B151)=10, MONTH(B151)=11), "Fall"
)</f>
        <v>Winter</v>
      </c>
    </row>
    <row r="152" spans="1:11">
      <c r="A152">
        <v>151</v>
      </c>
      <c r="B152" s="1">
        <v>45275</v>
      </c>
      <c r="C152" t="s">
        <v>164</v>
      </c>
      <c r="D152" t="s">
        <v>10</v>
      </c>
      <c r="E152" s="2">
        <v>29</v>
      </c>
      <c r="F152" t="s">
        <v>14</v>
      </c>
      <c r="G152" s="2">
        <v>1</v>
      </c>
      <c r="H152" s="3">
        <v>50</v>
      </c>
      <c r="I152" s="3">
        <v>50</v>
      </c>
      <c r="J152" s="2" t="str">
        <f t="shared" si="2"/>
        <v>25–34</v>
      </c>
      <c r="K152" t="str" cm="1">
        <f t="array" ref="K152">_xlfn.IFS(
  OR(MONTH(B152)=12, MONTH(B152)=1, MONTH(B152)=2), "Winter",
  OR(MONTH(B152)=3, MONTH(B152)=4, MONTH(B152)=5), "Spring",
  OR(MONTH(B152)=6, MONTH(B152)=7, MONTH(B152)=8), "Summer",
  OR(MONTH(B152)=9, MONTH(B152)=10, MONTH(B152)=11), "Fall"
)</f>
        <v>Winter</v>
      </c>
    </row>
    <row r="153" spans="1:11">
      <c r="A153">
        <v>152</v>
      </c>
      <c r="B153" s="1">
        <v>44985</v>
      </c>
      <c r="C153" t="s">
        <v>165</v>
      </c>
      <c r="D153" t="s">
        <v>10</v>
      </c>
      <c r="E153" s="2">
        <v>43</v>
      </c>
      <c r="F153" t="s">
        <v>16</v>
      </c>
      <c r="G153" s="2">
        <v>4</v>
      </c>
      <c r="H153" s="3">
        <v>500</v>
      </c>
      <c r="I153" s="3">
        <v>2000</v>
      </c>
      <c r="J153" s="2" t="str">
        <f t="shared" si="2"/>
        <v>35–44</v>
      </c>
      <c r="K153" t="str" cm="1">
        <f t="array" ref="K153">_xlfn.IFS(
  OR(MONTH(B153)=12, MONTH(B153)=1, MONTH(B153)=2), "Winter",
  OR(MONTH(B153)=3, MONTH(B153)=4, MONTH(B153)=5), "Spring",
  OR(MONTH(B153)=6, MONTH(B153)=7, MONTH(B153)=8), "Summer",
  OR(MONTH(B153)=9, MONTH(B153)=10, MONTH(B153)=11), "Fall"
)</f>
        <v>Winter</v>
      </c>
    </row>
    <row r="154" spans="1:11">
      <c r="A154">
        <v>153</v>
      </c>
      <c r="B154" s="1">
        <v>45276</v>
      </c>
      <c r="C154" t="s">
        <v>166</v>
      </c>
      <c r="D154" t="s">
        <v>10</v>
      </c>
      <c r="E154" s="2">
        <v>63</v>
      </c>
      <c r="F154" t="s">
        <v>16</v>
      </c>
      <c r="G154" s="2">
        <v>2</v>
      </c>
      <c r="H154" s="3">
        <v>500</v>
      </c>
      <c r="I154" s="3">
        <v>1000</v>
      </c>
      <c r="J154" s="2" t="str">
        <f t="shared" si="2"/>
        <v>55–64</v>
      </c>
      <c r="K154" t="str" cm="1">
        <f t="array" ref="K154">_xlfn.IFS(
  OR(MONTH(B154)=12, MONTH(B154)=1, MONTH(B154)=2), "Winter",
  OR(MONTH(B154)=3, MONTH(B154)=4, MONTH(B154)=5), "Spring",
  OR(MONTH(B154)=6, MONTH(B154)=7, MONTH(B154)=8), "Summer",
  OR(MONTH(B154)=9, MONTH(B154)=10, MONTH(B154)=11), "Fall"
)</f>
        <v>Winter</v>
      </c>
    </row>
    <row r="155" spans="1:11">
      <c r="A155">
        <v>154</v>
      </c>
      <c r="B155" s="1">
        <v>45201</v>
      </c>
      <c r="C155" t="s">
        <v>167</v>
      </c>
      <c r="D155" t="s">
        <v>10</v>
      </c>
      <c r="E155" s="2">
        <v>51</v>
      </c>
      <c r="F155" t="s">
        <v>16</v>
      </c>
      <c r="G155" s="2">
        <v>3</v>
      </c>
      <c r="H155" s="3">
        <v>300</v>
      </c>
      <c r="I155" s="3">
        <v>900</v>
      </c>
      <c r="J155" s="2" t="str">
        <f t="shared" si="2"/>
        <v>45–54</v>
      </c>
      <c r="K155" t="str" cm="1">
        <f t="array" ref="K155">_xlfn.IFS(
  OR(MONTH(B155)=12, MONTH(B155)=1, MONTH(B155)=2), "Winter",
  OR(MONTH(B155)=3, MONTH(B155)=4, MONTH(B155)=5), "Spring",
  OR(MONTH(B155)=6, MONTH(B155)=7, MONTH(B155)=8), "Summer",
  OR(MONTH(B155)=9, MONTH(B155)=10, MONTH(B155)=11), "Fall"
)</f>
        <v>Fall</v>
      </c>
    </row>
    <row r="156" spans="1:11">
      <c r="A156">
        <v>155</v>
      </c>
      <c r="B156" s="1">
        <v>45063</v>
      </c>
      <c r="C156" t="s">
        <v>168</v>
      </c>
      <c r="D156" t="s">
        <v>10</v>
      </c>
      <c r="E156" s="2">
        <v>31</v>
      </c>
      <c r="F156" t="s">
        <v>16</v>
      </c>
      <c r="G156" s="2">
        <v>4</v>
      </c>
      <c r="H156" s="3">
        <v>500</v>
      </c>
      <c r="I156" s="3">
        <v>2000</v>
      </c>
      <c r="J156" s="2" t="str">
        <f t="shared" si="2"/>
        <v>25–34</v>
      </c>
      <c r="K156" t="str" cm="1">
        <f t="array" ref="K156">_xlfn.IFS(
  OR(MONTH(B156)=12, MONTH(B156)=1, MONTH(B156)=2), "Winter",
  OR(MONTH(B156)=3, MONTH(B156)=4, MONTH(B156)=5), "Spring",
  OR(MONTH(B156)=6, MONTH(B156)=7, MONTH(B156)=8), "Summer",
  OR(MONTH(B156)=9, MONTH(B156)=10, MONTH(B156)=11), "Fall"
)</f>
        <v>Spring</v>
      </c>
    </row>
    <row r="157" spans="1:11">
      <c r="A157">
        <v>156</v>
      </c>
      <c r="B157" s="1">
        <v>45255</v>
      </c>
      <c r="C157" t="s">
        <v>169</v>
      </c>
      <c r="D157" t="s">
        <v>13</v>
      </c>
      <c r="E157" s="2">
        <v>43</v>
      </c>
      <c r="F157" t="s">
        <v>14</v>
      </c>
      <c r="G157" s="2">
        <v>4</v>
      </c>
      <c r="H157" s="3">
        <v>25</v>
      </c>
      <c r="I157" s="3">
        <v>100</v>
      </c>
      <c r="J157" s="2" t="str">
        <f t="shared" si="2"/>
        <v>35–44</v>
      </c>
      <c r="K157" t="str" cm="1">
        <f t="array" ref="K157">_xlfn.IFS(
  OR(MONTH(B157)=12, MONTH(B157)=1, MONTH(B157)=2), "Winter",
  OR(MONTH(B157)=3, MONTH(B157)=4, MONTH(B157)=5), "Spring",
  OR(MONTH(B157)=6, MONTH(B157)=7, MONTH(B157)=8), "Summer",
  OR(MONTH(B157)=9, MONTH(B157)=10, MONTH(B157)=11), "Fall"
)</f>
        <v>Fall</v>
      </c>
    </row>
    <row r="158" spans="1:11">
      <c r="A158">
        <v>157</v>
      </c>
      <c r="B158" s="1">
        <v>45101</v>
      </c>
      <c r="C158" t="s">
        <v>170</v>
      </c>
      <c r="D158" t="s">
        <v>10</v>
      </c>
      <c r="E158" s="2">
        <v>62</v>
      </c>
      <c r="F158" t="s">
        <v>16</v>
      </c>
      <c r="G158" s="2">
        <v>4</v>
      </c>
      <c r="H158" s="3">
        <v>500</v>
      </c>
      <c r="I158" s="3">
        <v>2000</v>
      </c>
      <c r="J158" s="2" t="str">
        <f t="shared" si="2"/>
        <v>55–64</v>
      </c>
      <c r="K158" t="str" cm="1">
        <f t="array" ref="K158">_xlfn.IFS(
  OR(MONTH(B158)=12, MONTH(B158)=1, MONTH(B158)=2), "Winter",
  OR(MONTH(B158)=3, MONTH(B158)=4, MONTH(B158)=5), "Spring",
  OR(MONTH(B158)=6, MONTH(B158)=7, MONTH(B158)=8), "Summer",
  OR(MONTH(B158)=9, MONTH(B158)=10, MONTH(B158)=11), "Fall"
)</f>
        <v>Summer</v>
      </c>
    </row>
    <row r="159" spans="1:11">
      <c r="A159">
        <v>158</v>
      </c>
      <c r="B159" s="1">
        <v>44984</v>
      </c>
      <c r="C159" t="s">
        <v>171</v>
      </c>
      <c r="D159" t="s">
        <v>13</v>
      </c>
      <c r="E159" s="2">
        <v>44</v>
      </c>
      <c r="F159" t="s">
        <v>16</v>
      </c>
      <c r="G159" s="2">
        <v>2</v>
      </c>
      <c r="H159" s="3">
        <v>300</v>
      </c>
      <c r="I159" s="3">
        <v>600</v>
      </c>
      <c r="J159" s="2" t="str">
        <f t="shared" si="2"/>
        <v>35–44</v>
      </c>
      <c r="K159" t="str" cm="1">
        <f t="array" ref="K159">_xlfn.IFS(
  OR(MONTH(B159)=12, MONTH(B159)=1, MONTH(B159)=2), "Winter",
  OR(MONTH(B159)=3, MONTH(B159)=4, MONTH(B159)=5), "Spring",
  OR(MONTH(B159)=6, MONTH(B159)=7, MONTH(B159)=8), "Summer",
  OR(MONTH(B159)=9, MONTH(B159)=10, MONTH(B159)=11), "Fall"
)</f>
        <v>Winter</v>
      </c>
    </row>
    <row r="160" spans="1:11">
      <c r="A160">
        <v>159</v>
      </c>
      <c r="B160" s="1">
        <v>45077</v>
      </c>
      <c r="C160" t="s">
        <v>172</v>
      </c>
      <c r="D160" t="s">
        <v>10</v>
      </c>
      <c r="E160" s="2">
        <v>26</v>
      </c>
      <c r="F160" t="s">
        <v>14</v>
      </c>
      <c r="G160" s="2">
        <v>4</v>
      </c>
      <c r="H160" s="3">
        <v>50</v>
      </c>
      <c r="I160" s="3">
        <v>200</v>
      </c>
      <c r="J160" s="2" t="str">
        <f t="shared" si="2"/>
        <v>25–34</v>
      </c>
      <c r="K160" t="str" cm="1">
        <f t="array" ref="K160">_xlfn.IFS(
  OR(MONTH(B160)=12, MONTH(B160)=1, MONTH(B160)=2), "Winter",
  OR(MONTH(B160)=3, MONTH(B160)=4, MONTH(B160)=5), "Spring",
  OR(MONTH(B160)=6, MONTH(B160)=7, MONTH(B160)=8), "Summer",
  OR(MONTH(B160)=9, MONTH(B160)=10, MONTH(B160)=11), "Fall"
)</f>
        <v>Spring</v>
      </c>
    </row>
    <row r="161" spans="1:11">
      <c r="A161">
        <v>160</v>
      </c>
      <c r="B161" s="1">
        <v>45149</v>
      </c>
      <c r="C161" t="s">
        <v>173</v>
      </c>
      <c r="D161" t="s">
        <v>13</v>
      </c>
      <c r="E161" s="2">
        <v>43</v>
      </c>
      <c r="F161" t="s">
        <v>14</v>
      </c>
      <c r="G161" s="2">
        <v>2</v>
      </c>
      <c r="H161" s="3">
        <v>50</v>
      </c>
      <c r="I161" s="3">
        <v>100</v>
      </c>
      <c r="J161" s="2" t="str">
        <f t="shared" si="2"/>
        <v>35–44</v>
      </c>
      <c r="K161" t="str" cm="1">
        <f t="array" ref="K161">_xlfn.IFS(
  OR(MONTH(B161)=12, MONTH(B161)=1, MONTH(B161)=2), "Winter",
  OR(MONTH(B161)=3, MONTH(B161)=4, MONTH(B161)=5), "Spring",
  OR(MONTH(B161)=6, MONTH(B161)=7, MONTH(B161)=8), "Summer",
  OR(MONTH(B161)=9, MONTH(B161)=10, MONTH(B161)=11), "Fall"
)</f>
        <v>Summer</v>
      </c>
    </row>
    <row r="162" spans="1:11">
      <c r="A162">
        <v>161</v>
      </c>
      <c r="B162" s="1">
        <v>45007</v>
      </c>
      <c r="C162" t="s">
        <v>174</v>
      </c>
      <c r="D162" t="s">
        <v>10</v>
      </c>
      <c r="E162" s="2">
        <v>64</v>
      </c>
      <c r="F162" t="s">
        <v>11</v>
      </c>
      <c r="G162" s="2">
        <v>2</v>
      </c>
      <c r="H162" s="3">
        <v>500</v>
      </c>
      <c r="I162" s="3">
        <v>1000</v>
      </c>
      <c r="J162" s="2" t="str">
        <f t="shared" si="2"/>
        <v>55–64</v>
      </c>
      <c r="K162" t="str" cm="1">
        <f t="array" ref="K162">_xlfn.IFS(
  OR(MONTH(B162)=12, MONTH(B162)=1, MONTH(B162)=2), "Winter",
  OR(MONTH(B162)=3, MONTH(B162)=4, MONTH(B162)=5), "Spring",
  OR(MONTH(B162)=6, MONTH(B162)=7, MONTH(B162)=8), "Summer",
  OR(MONTH(B162)=9, MONTH(B162)=10, MONTH(B162)=11), "Fall"
)</f>
        <v>Spring</v>
      </c>
    </row>
    <row r="163" spans="1:11">
      <c r="A163">
        <v>162</v>
      </c>
      <c r="B163" s="1">
        <v>45159</v>
      </c>
      <c r="C163" t="s">
        <v>175</v>
      </c>
      <c r="D163" t="s">
        <v>10</v>
      </c>
      <c r="E163" s="2">
        <v>39</v>
      </c>
      <c r="F163" t="s">
        <v>14</v>
      </c>
      <c r="G163" s="2">
        <v>2</v>
      </c>
      <c r="H163" s="3">
        <v>30</v>
      </c>
      <c r="I163" s="3">
        <v>60</v>
      </c>
      <c r="J163" s="2" t="str">
        <f t="shared" si="2"/>
        <v>35–44</v>
      </c>
      <c r="K163" t="str" cm="1">
        <f t="array" ref="K163">_xlfn.IFS(
  OR(MONTH(B163)=12, MONTH(B163)=1, MONTH(B163)=2), "Winter",
  OR(MONTH(B163)=3, MONTH(B163)=4, MONTH(B163)=5), "Spring",
  OR(MONTH(B163)=6, MONTH(B163)=7, MONTH(B163)=8), "Summer",
  OR(MONTH(B163)=9, MONTH(B163)=10, MONTH(B163)=11), "Fall"
)</f>
        <v>Summer</v>
      </c>
    </row>
    <row r="164" spans="1:11">
      <c r="A164">
        <v>163</v>
      </c>
      <c r="B164" s="1">
        <v>44928</v>
      </c>
      <c r="C164" t="s">
        <v>176</v>
      </c>
      <c r="D164" t="s">
        <v>13</v>
      </c>
      <c r="E164" s="2">
        <v>64</v>
      </c>
      <c r="F164" t="s">
        <v>14</v>
      </c>
      <c r="G164" s="2">
        <v>3</v>
      </c>
      <c r="H164" s="3">
        <v>50</v>
      </c>
      <c r="I164" s="3">
        <v>150</v>
      </c>
      <c r="J164" s="2" t="str">
        <f t="shared" si="2"/>
        <v>55–64</v>
      </c>
      <c r="K164" t="str" cm="1">
        <f t="array" ref="K164">_xlfn.IFS(
  OR(MONTH(B164)=12, MONTH(B164)=1, MONTH(B164)=2), "Winter",
  OR(MONTH(B164)=3, MONTH(B164)=4, MONTH(B164)=5), "Spring",
  OR(MONTH(B164)=6, MONTH(B164)=7, MONTH(B164)=8), "Summer",
  OR(MONTH(B164)=9, MONTH(B164)=10, MONTH(B164)=11), "Fall"
)</f>
        <v>Winter</v>
      </c>
    </row>
    <row r="165" spans="1:11">
      <c r="A165">
        <v>164</v>
      </c>
      <c r="B165" s="1">
        <v>45061</v>
      </c>
      <c r="C165" t="s">
        <v>177</v>
      </c>
      <c r="D165" t="s">
        <v>13</v>
      </c>
      <c r="E165" s="2">
        <v>47</v>
      </c>
      <c r="F165" t="s">
        <v>11</v>
      </c>
      <c r="G165" s="2">
        <v>3</v>
      </c>
      <c r="H165" s="3">
        <v>500</v>
      </c>
      <c r="I165" s="3">
        <v>1500</v>
      </c>
      <c r="J165" s="2" t="str">
        <f t="shared" si="2"/>
        <v>45–54</v>
      </c>
      <c r="K165" t="str" cm="1">
        <f t="array" ref="K165">_xlfn.IFS(
  OR(MONTH(B165)=12, MONTH(B165)=1, MONTH(B165)=2), "Winter",
  OR(MONTH(B165)=3, MONTH(B165)=4, MONTH(B165)=5), "Spring",
  OR(MONTH(B165)=6, MONTH(B165)=7, MONTH(B165)=8), "Summer",
  OR(MONTH(B165)=9, MONTH(B165)=10, MONTH(B165)=11), "Fall"
)</f>
        <v>Spring</v>
      </c>
    </row>
    <row r="166" spans="1:11">
      <c r="A166">
        <v>165</v>
      </c>
      <c r="B166" s="1">
        <v>45183</v>
      </c>
      <c r="C166" t="s">
        <v>178</v>
      </c>
      <c r="D166" t="s">
        <v>13</v>
      </c>
      <c r="E166" s="2">
        <v>60</v>
      </c>
      <c r="F166" t="s">
        <v>14</v>
      </c>
      <c r="G166" s="2">
        <v>4</v>
      </c>
      <c r="H166" s="3">
        <v>300</v>
      </c>
      <c r="I166" s="3">
        <v>1200</v>
      </c>
      <c r="J166" s="2" t="str">
        <f t="shared" si="2"/>
        <v>55–64</v>
      </c>
      <c r="K166" t="str" cm="1">
        <f t="array" ref="K166">_xlfn.IFS(
  OR(MONTH(B166)=12, MONTH(B166)=1, MONTH(B166)=2), "Winter",
  OR(MONTH(B166)=3, MONTH(B166)=4, MONTH(B166)=5), "Spring",
  OR(MONTH(B166)=6, MONTH(B166)=7, MONTH(B166)=8), "Summer",
  OR(MONTH(B166)=9, MONTH(B166)=10, MONTH(B166)=11), "Fall"
)</f>
        <v>Fall</v>
      </c>
    </row>
    <row r="167" spans="1:11">
      <c r="A167">
        <v>166</v>
      </c>
      <c r="B167" s="1">
        <v>45018</v>
      </c>
      <c r="C167" t="s">
        <v>179</v>
      </c>
      <c r="D167" t="s">
        <v>10</v>
      </c>
      <c r="E167" s="2">
        <v>34</v>
      </c>
      <c r="F167" t="s">
        <v>14</v>
      </c>
      <c r="G167" s="2">
        <v>4</v>
      </c>
      <c r="H167" s="3">
        <v>500</v>
      </c>
      <c r="I167" s="3">
        <v>2000</v>
      </c>
      <c r="J167" s="2" t="str">
        <f t="shared" si="2"/>
        <v>25–34</v>
      </c>
      <c r="K167" t="str" cm="1">
        <f t="array" ref="K167">_xlfn.IFS(
  OR(MONTH(B167)=12, MONTH(B167)=1, MONTH(B167)=2), "Winter",
  OR(MONTH(B167)=3, MONTH(B167)=4, MONTH(B167)=5), "Spring",
  OR(MONTH(B167)=6, MONTH(B167)=7, MONTH(B167)=8), "Summer",
  OR(MONTH(B167)=9, MONTH(B167)=10, MONTH(B167)=11), "Fall"
)</f>
        <v>Spring</v>
      </c>
    </row>
    <row r="168" spans="1:11">
      <c r="A168">
        <v>167</v>
      </c>
      <c r="B168" s="1">
        <v>45186</v>
      </c>
      <c r="C168" t="s">
        <v>180</v>
      </c>
      <c r="D168" t="s">
        <v>13</v>
      </c>
      <c r="E168" s="2">
        <v>43</v>
      </c>
      <c r="F168" t="s">
        <v>14</v>
      </c>
      <c r="G168" s="2">
        <v>3</v>
      </c>
      <c r="H168" s="3">
        <v>50</v>
      </c>
      <c r="I168" s="3">
        <v>150</v>
      </c>
      <c r="J168" s="2" t="str">
        <f t="shared" si="2"/>
        <v>35–44</v>
      </c>
      <c r="K168" t="str" cm="1">
        <f t="array" ref="K168">_xlfn.IFS(
  OR(MONTH(B168)=12, MONTH(B168)=1, MONTH(B168)=2), "Winter",
  OR(MONTH(B168)=3, MONTH(B168)=4, MONTH(B168)=5), "Spring",
  OR(MONTH(B168)=6, MONTH(B168)=7, MONTH(B168)=8), "Summer",
  OR(MONTH(B168)=9, MONTH(B168)=10, MONTH(B168)=11), "Fall"
)</f>
        <v>Fall</v>
      </c>
    </row>
    <row r="169" spans="1:11">
      <c r="A169">
        <v>168</v>
      </c>
      <c r="B169" s="1">
        <v>44981</v>
      </c>
      <c r="C169" t="s">
        <v>181</v>
      </c>
      <c r="D169" t="s">
        <v>10</v>
      </c>
      <c r="E169" s="2">
        <v>53</v>
      </c>
      <c r="F169" t="s">
        <v>14</v>
      </c>
      <c r="G169" s="2">
        <v>1</v>
      </c>
      <c r="H169" s="3">
        <v>300</v>
      </c>
      <c r="I169" s="3">
        <v>300</v>
      </c>
      <c r="J169" s="2" t="str">
        <f t="shared" si="2"/>
        <v>45–54</v>
      </c>
      <c r="K169" t="str" cm="1">
        <f t="array" ref="K169">_xlfn.IFS(
  OR(MONTH(B169)=12, MONTH(B169)=1, MONTH(B169)=2), "Winter",
  OR(MONTH(B169)=3, MONTH(B169)=4, MONTH(B169)=5), "Spring",
  OR(MONTH(B169)=6, MONTH(B169)=7, MONTH(B169)=8), "Summer",
  OR(MONTH(B169)=9, MONTH(B169)=10, MONTH(B169)=11), "Fall"
)</f>
        <v>Winter</v>
      </c>
    </row>
    <row r="170" spans="1:11">
      <c r="A170">
        <v>169</v>
      </c>
      <c r="B170" s="1">
        <v>45247</v>
      </c>
      <c r="C170" t="s">
        <v>182</v>
      </c>
      <c r="D170" t="s">
        <v>10</v>
      </c>
      <c r="E170" s="2">
        <v>18</v>
      </c>
      <c r="F170" t="s">
        <v>11</v>
      </c>
      <c r="G170" s="2">
        <v>3</v>
      </c>
      <c r="H170" s="3">
        <v>500</v>
      </c>
      <c r="I170" s="3">
        <v>1500</v>
      </c>
      <c r="J170" s="2" t="str">
        <f t="shared" si="2"/>
        <v>18–24</v>
      </c>
      <c r="K170" t="str" cm="1">
        <f t="array" ref="K170">_xlfn.IFS(
  OR(MONTH(B170)=12, MONTH(B170)=1, MONTH(B170)=2), "Winter",
  OR(MONTH(B170)=3, MONTH(B170)=4, MONTH(B170)=5), "Spring",
  OR(MONTH(B170)=6, MONTH(B170)=7, MONTH(B170)=8), "Summer",
  OR(MONTH(B170)=9, MONTH(B170)=10, MONTH(B170)=11), "Fall"
)</f>
        <v>Fall</v>
      </c>
    </row>
    <row r="171" spans="1:11">
      <c r="A171">
        <v>170</v>
      </c>
      <c r="B171" s="1">
        <v>45079</v>
      </c>
      <c r="C171" t="s">
        <v>183</v>
      </c>
      <c r="D171" t="s">
        <v>13</v>
      </c>
      <c r="E171" s="2">
        <v>25</v>
      </c>
      <c r="F171" t="s">
        <v>14</v>
      </c>
      <c r="G171" s="2">
        <v>2</v>
      </c>
      <c r="H171" s="3">
        <v>25</v>
      </c>
      <c r="I171" s="3">
        <v>50</v>
      </c>
      <c r="J171" s="2" t="str">
        <f t="shared" si="2"/>
        <v>25–34</v>
      </c>
      <c r="K171" t="str" cm="1">
        <f t="array" ref="K171">_xlfn.IFS(
  OR(MONTH(B171)=12, MONTH(B171)=1, MONTH(B171)=2), "Winter",
  OR(MONTH(B171)=3, MONTH(B171)=4, MONTH(B171)=5), "Spring",
  OR(MONTH(B171)=6, MONTH(B171)=7, MONTH(B171)=8), "Summer",
  OR(MONTH(B171)=9, MONTH(B171)=10, MONTH(B171)=11), "Fall"
)</f>
        <v>Summer</v>
      </c>
    </row>
    <row r="172" spans="1:11">
      <c r="A172">
        <v>171</v>
      </c>
      <c r="B172" s="1">
        <v>45254</v>
      </c>
      <c r="C172" t="s">
        <v>184</v>
      </c>
      <c r="D172" t="s">
        <v>13</v>
      </c>
      <c r="E172" s="2">
        <v>52</v>
      </c>
      <c r="F172" t="s">
        <v>14</v>
      </c>
      <c r="G172" s="2">
        <v>3</v>
      </c>
      <c r="H172" s="3">
        <v>300</v>
      </c>
      <c r="I172" s="3">
        <v>900</v>
      </c>
      <c r="J172" s="2" t="str">
        <f t="shared" si="2"/>
        <v>45–54</v>
      </c>
      <c r="K172" t="str" cm="1">
        <f t="array" ref="K172">_xlfn.IFS(
  OR(MONTH(B172)=12, MONTH(B172)=1, MONTH(B172)=2), "Winter",
  OR(MONTH(B172)=3, MONTH(B172)=4, MONTH(B172)=5), "Spring",
  OR(MONTH(B172)=6, MONTH(B172)=7, MONTH(B172)=8), "Summer",
  OR(MONTH(B172)=9, MONTH(B172)=10, MONTH(B172)=11), "Fall"
)</f>
        <v>Fall</v>
      </c>
    </row>
    <row r="173" spans="1:11">
      <c r="A173">
        <v>172</v>
      </c>
      <c r="B173" s="1">
        <v>45186</v>
      </c>
      <c r="C173" t="s">
        <v>185</v>
      </c>
      <c r="D173" t="s">
        <v>10</v>
      </c>
      <c r="E173" s="2">
        <v>32</v>
      </c>
      <c r="F173" t="s">
        <v>11</v>
      </c>
      <c r="G173" s="2">
        <v>2</v>
      </c>
      <c r="H173" s="3">
        <v>25</v>
      </c>
      <c r="I173" s="3">
        <v>50</v>
      </c>
      <c r="J173" s="2" t="str">
        <f t="shared" si="2"/>
        <v>25–34</v>
      </c>
      <c r="K173" t="str" cm="1">
        <f t="array" ref="K173">_xlfn.IFS(
  OR(MONTH(B173)=12, MONTH(B173)=1, MONTH(B173)=2), "Winter",
  OR(MONTH(B173)=3, MONTH(B173)=4, MONTH(B173)=5), "Spring",
  OR(MONTH(B173)=6, MONTH(B173)=7, MONTH(B173)=8), "Summer",
  OR(MONTH(B173)=9, MONTH(B173)=10, MONTH(B173)=11), "Fall"
)</f>
        <v>Fall</v>
      </c>
    </row>
    <row r="174" spans="1:11">
      <c r="A174">
        <v>173</v>
      </c>
      <c r="B174" s="1">
        <v>45238</v>
      </c>
      <c r="C174" t="s">
        <v>186</v>
      </c>
      <c r="D174" t="s">
        <v>10</v>
      </c>
      <c r="E174" s="2">
        <v>64</v>
      </c>
      <c r="F174" t="s">
        <v>16</v>
      </c>
      <c r="G174" s="2">
        <v>4</v>
      </c>
      <c r="H174" s="3">
        <v>30</v>
      </c>
      <c r="I174" s="3">
        <v>120</v>
      </c>
      <c r="J174" s="2" t="str">
        <f t="shared" si="2"/>
        <v>55–64</v>
      </c>
      <c r="K174" t="str" cm="1">
        <f t="array" ref="K174">_xlfn.IFS(
  OR(MONTH(B174)=12, MONTH(B174)=1, MONTH(B174)=2), "Winter",
  OR(MONTH(B174)=3, MONTH(B174)=4, MONTH(B174)=5), "Spring",
  OR(MONTH(B174)=6, MONTH(B174)=7, MONTH(B174)=8), "Summer",
  OR(MONTH(B174)=9, MONTH(B174)=10, MONTH(B174)=11), "Fall"
)</f>
        <v>Fall</v>
      </c>
    </row>
    <row r="175" spans="1:11">
      <c r="A175">
        <v>174</v>
      </c>
      <c r="B175" s="1">
        <v>45028</v>
      </c>
      <c r="C175" t="s">
        <v>187</v>
      </c>
      <c r="D175" t="s">
        <v>13</v>
      </c>
      <c r="E175" s="2">
        <v>39</v>
      </c>
      <c r="F175" t="s">
        <v>11</v>
      </c>
      <c r="G175" s="2">
        <v>1</v>
      </c>
      <c r="H175" s="3">
        <v>300</v>
      </c>
      <c r="I175" s="3">
        <v>300</v>
      </c>
      <c r="J175" s="2" t="str">
        <f t="shared" si="2"/>
        <v>35–44</v>
      </c>
      <c r="K175" t="str" cm="1">
        <f t="array" ref="K175">_xlfn.IFS(
  OR(MONTH(B175)=12, MONTH(B175)=1, MONTH(B175)=2), "Winter",
  OR(MONTH(B175)=3, MONTH(B175)=4, MONTH(B175)=5), "Spring",
  OR(MONTH(B175)=6, MONTH(B175)=7, MONTH(B175)=8), "Summer",
  OR(MONTH(B175)=9, MONTH(B175)=10, MONTH(B175)=11), "Fall"
)</f>
        <v>Spring</v>
      </c>
    </row>
    <row r="176" spans="1:11">
      <c r="A176">
        <v>175</v>
      </c>
      <c r="B176" s="1">
        <v>45005</v>
      </c>
      <c r="C176" t="s">
        <v>188</v>
      </c>
      <c r="D176" t="s">
        <v>13</v>
      </c>
      <c r="E176" s="2">
        <v>31</v>
      </c>
      <c r="F176" t="s">
        <v>16</v>
      </c>
      <c r="G176" s="2">
        <v>4</v>
      </c>
      <c r="H176" s="3">
        <v>25</v>
      </c>
      <c r="I176" s="3">
        <v>100</v>
      </c>
      <c r="J176" s="2" t="str">
        <f t="shared" si="2"/>
        <v>25–34</v>
      </c>
      <c r="K176" t="str" cm="1">
        <f t="array" ref="K176">_xlfn.IFS(
  OR(MONTH(B176)=12, MONTH(B176)=1, MONTH(B176)=2), "Winter",
  OR(MONTH(B176)=3, MONTH(B176)=4, MONTH(B176)=5), "Spring",
  OR(MONTH(B176)=6, MONTH(B176)=7, MONTH(B176)=8), "Summer",
  OR(MONTH(B176)=9, MONTH(B176)=10, MONTH(B176)=11), "Fall"
)</f>
        <v>Spring</v>
      </c>
    </row>
    <row r="177" spans="1:11">
      <c r="A177">
        <v>176</v>
      </c>
      <c r="B177" s="1">
        <v>45118</v>
      </c>
      <c r="C177" t="s">
        <v>189</v>
      </c>
      <c r="D177" t="s">
        <v>13</v>
      </c>
      <c r="E177" s="2">
        <v>43</v>
      </c>
      <c r="F177" t="s">
        <v>11</v>
      </c>
      <c r="G177" s="2">
        <v>2</v>
      </c>
      <c r="H177" s="3">
        <v>50</v>
      </c>
      <c r="I177" s="3">
        <v>100</v>
      </c>
      <c r="J177" s="2" t="str">
        <f t="shared" si="2"/>
        <v>35–44</v>
      </c>
      <c r="K177" t="str" cm="1">
        <f t="array" ref="K177">_xlfn.IFS(
  OR(MONTH(B177)=12, MONTH(B177)=1, MONTH(B177)=2), "Winter",
  OR(MONTH(B177)=3, MONTH(B177)=4, MONTH(B177)=5), "Spring",
  OR(MONTH(B177)=6, MONTH(B177)=7, MONTH(B177)=8), "Summer",
  OR(MONTH(B177)=9, MONTH(B177)=10, MONTH(B177)=11), "Fall"
)</f>
        <v>Summer</v>
      </c>
    </row>
    <row r="178" spans="1:11">
      <c r="A178">
        <v>177</v>
      </c>
      <c r="B178" s="1">
        <v>45009</v>
      </c>
      <c r="C178" t="s">
        <v>190</v>
      </c>
      <c r="D178" t="s">
        <v>10</v>
      </c>
      <c r="E178" s="2">
        <v>45</v>
      </c>
      <c r="F178" t="s">
        <v>11</v>
      </c>
      <c r="G178" s="2">
        <v>2</v>
      </c>
      <c r="H178" s="3">
        <v>50</v>
      </c>
      <c r="I178" s="3">
        <v>100</v>
      </c>
      <c r="J178" s="2" t="str">
        <f t="shared" si="2"/>
        <v>45–54</v>
      </c>
      <c r="K178" t="str" cm="1">
        <f t="array" ref="K178">_xlfn.IFS(
  OR(MONTH(B178)=12, MONTH(B178)=1, MONTH(B178)=2), "Winter",
  OR(MONTH(B178)=3, MONTH(B178)=4, MONTH(B178)=5), "Spring",
  OR(MONTH(B178)=6, MONTH(B178)=7, MONTH(B178)=8), "Summer",
  OR(MONTH(B178)=9, MONTH(B178)=10, MONTH(B178)=11), "Fall"
)</f>
        <v>Spring</v>
      </c>
    </row>
    <row r="179" spans="1:11">
      <c r="A179">
        <v>178</v>
      </c>
      <c r="B179" s="1">
        <v>45203</v>
      </c>
      <c r="C179" t="s">
        <v>191</v>
      </c>
      <c r="D179" t="s">
        <v>10</v>
      </c>
      <c r="E179" s="2">
        <v>40</v>
      </c>
      <c r="F179" t="s">
        <v>14</v>
      </c>
      <c r="G179" s="2">
        <v>2</v>
      </c>
      <c r="H179" s="3">
        <v>30</v>
      </c>
      <c r="I179" s="3">
        <v>60</v>
      </c>
      <c r="J179" s="2" t="str">
        <f t="shared" si="2"/>
        <v>35–44</v>
      </c>
      <c r="K179" t="str" cm="1">
        <f t="array" ref="K179">_xlfn.IFS(
  OR(MONTH(B179)=12, MONTH(B179)=1, MONTH(B179)=2), "Winter",
  OR(MONTH(B179)=3, MONTH(B179)=4, MONTH(B179)=5), "Spring",
  OR(MONTH(B179)=6, MONTH(B179)=7, MONTH(B179)=8), "Summer",
  OR(MONTH(B179)=9, MONTH(B179)=10, MONTH(B179)=11), "Fall"
)</f>
        <v>Fall</v>
      </c>
    </row>
    <row r="180" spans="1:11">
      <c r="A180">
        <v>179</v>
      </c>
      <c r="B180" s="1">
        <v>45198</v>
      </c>
      <c r="C180" t="s">
        <v>192</v>
      </c>
      <c r="D180" t="s">
        <v>10</v>
      </c>
      <c r="E180" s="2">
        <v>31</v>
      </c>
      <c r="F180" t="s">
        <v>16</v>
      </c>
      <c r="G180" s="2">
        <v>1</v>
      </c>
      <c r="H180" s="3">
        <v>300</v>
      </c>
      <c r="I180" s="3">
        <v>300</v>
      </c>
      <c r="J180" s="2" t="str">
        <f t="shared" si="2"/>
        <v>25–34</v>
      </c>
      <c r="K180" t="str" cm="1">
        <f t="array" ref="K180">_xlfn.IFS(
  OR(MONTH(B180)=12, MONTH(B180)=1, MONTH(B180)=2), "Winter",
  OR(MONTH(B180)=3, MONTH(B180)=4, MONTH(B180)=5), "Spring",
  OR(MONTH(B180)=6, MONTH(B180)=7, MONTH(B180)=8), "Summer",
  OR(MONTH(B180)=9, MONTH(B180)=10, MONTH(B180)=11), "Fall"
)</f>
        <v>Fall</v>
      </c>
    </row>
    <row r="181" spans="1:11">
      <c r="A181">
        <v>180</v>
      </c>
      <c r="B181" s="1">
        <v>44927</v>
      </c>
      <c r="C181" t="s">
        <v>193</v>
      </c>
      <c r="D181" t="s">
        <v>10</v>
      </c>
      <c r="E181" s="2">
        <v>41</v>
      </c>
      <c r="F181" t="s">
        <v>14</v>
      </c>
      <c r="G181" s="2">
        <v>3</v>
      </c>
      <c r="H181" s="3">
        <v>300</v>
      </c>
      <c r="I181" s="3">
        <v>900</v>
      </c>
      <c r="J181" s="2" t="str">
        <f t="shared" si="2"/>
        <v>35–44</v>
      </c>
      <c r="K181" t="str" cm="1">
        <f t="array" ref="K181">_xlfn.IFS(
  OR(MONTH(B181)=12, MONTH(B181)=1, MONTH(B181)=2), "Winter",
  OR(MONTH(B181)=3, MONTH(B181)=4, MONTH(B181)=5), "Spring",
  OR(MONTH(B181)=6, MONTH(B181)=7, MONTH(B181)=8), "Summer",
  OR(MONTH(B181)=9, MONTH(B181)=10, MONTH(B181)=11), "Fall"
)</f>
        <v>Winter</v>
      </c>
    </row>
    <row r="182" spans="1:11">
      <c r="A182">
        <v>181</v>
      </c>
      <c r="B182" s="1">
        <v>45233</v>
      </c>
      <c r="C182" t="s">
        <v>194</v>
      </c>
      <c r="D182" t="s">
        <v>10</v>
      </c>
      <c r="E182" s="2">
        <v>19</v>
      </c>
      <c r="F182" t="s">
        <v>16</v>
      </c>
      <c r="G182" s="2">
        <v>4</v>
      </c>
      <c r="H182" s="3">
        <v>300</v>
      </c>
      <c r="I182" s="3">
        <v>1200</v>
      </c>
      <c r="J182" s="2" t="str">
        <f t="shared" si="2"/>
        <v>18–24</v>
      </c>
      <c r="K182" t="str" cm="1">
        <f t="array" ref="K182">_xlfn.IFS(
  OR(MONTH(B182)=12, MONTH(B182)=1, MONTH(B182)=2), "Winter",
  OR(MONTH(B182)=3, MONTH(B182)=4, MONTH(B182)=5), "Spring",
  OR(MONTH(B182)=6, MONTH(B182)=7, MONTH(B182)=8), "Summer",
  OR(MONTH(B182)=9, MONTH(B182)=10, MONTH(B182)=11), "Fall"
)</f>
        <v>Fall</v>
      </c>
    </row>
    <row r="183" spans="1:11">
      <c r="A183">
        <v>182</v>
      </c>
      <c r="B183" s="1">
        <v>45092</v>
      </c>
      <c r="C183" t="s">
        <v>195</v>
      </c>
      <c r="D183" t="s">
        <v>10</v>
      </c>
      <c r="E183" s="2">
        <v>62</v>
      </c>
      <c r="F183" t="s">
        <v>11</v>
      </c>
      <c r="G183" s="2">
        <v>4</v>
      </c>
      <c r="H183" s="3">
        <v>30</v>
      </c>
      <c r="I183" s="3">
        <v>120</v>
      </c>
      <c r="J183" s="2" t="str">
        <f t="shared" si="2"/>
        <v>55–64</v>
      </c>
      <c r="K183" t="str" cm="1">
        <f t="array" ref="K183">_xlfn.IFS(
  OR(MONTH(B183)=12, MONTH(B183)=1, MONTH(B183)=2), "Winter",
  OR(MONTH(B183)=3, MONTH(B183)=4, MONTH(B183)=5), "Spring",
  OR(MONTH(B183)=6, MONTH(B183)=7, MONTH(B183)=8), "Summer",
  OR(MONTH(B183)=9, MONTH(B183)=10, MONTH(B183)=11), "Fall"
)</f>
        <v>Summer</v>
      </c>
    </row>
    <row r="184" spans="1:11">
      <c r="A184">
        <v>183</v>
      </c>
      <c r="B184" s="1">
        <v>45177</v>
      </c>
      <c r="C184" t="s">
        <v>196</v>
      </c>
      <c r="D184" t="s">
        <v>13</v>
      </c>
      <c r="E184" s="2">
        <v>43</v>
      </c>
      <c r="F184" t="s">
        <v>11</v>
      </c>
      <c r="G184" s="2">
        <v>3</v>
      </c>
      <c r="H184" s="3">
        <v>300</v>
      </c>
      <c r="I184" s="3">
        <v>900</v>
      </c>
      <c r="J184" s="2" t="str">
        <f t="shared" si="2"/>
        <v>35–44</v>
      </c>
      <c r="K184" t="str" cm="1">
        <f t="array" ref="K184">_xlfn.IFS(
  OR(MONTH(B184)=12, MONTH(B184)=1, MONTH(B184)=2), "Winter",
  OR(MONTH(B184)=3, MONTH(B184)=4, MONTH(B184)=5), "Spring",
  OR(MONTH(B184)=6, MONTH(B184)=7, MONTH(B184)=8), "Summer",
  OR(MONTH(B184)=9, MONTH(B184)=10, MONTH(B184)=11), "Fall"
)</f>
        <v>Fall</v>
      </c>
    </row>
    <row r="185" spans="1:11">
      <c r="A185">
        <v>184</v>
      </c>
      <c r="B185" s="1">
        <v>44936</v>
      </c>
      <c r="C185" t="s">
        <v>197</v>
      </c>
      <c r="D185" t="s">
        <v>10</v>
      </c>
      <c r="E185" s="2">
        <v>31</v>
      </c>
      <c r="F185" t="s">
        <v>16</v>
      </c>
      <c r="G185" s="2">
        <v>4</v>
      </c>
      <c r="H185" s="3">
        <v>50</v>
      </c>
      <c r="I185" s="3">
        <v>200</v>
      </c>
      <c r="J185" s="2" t="str">
        <f t="shared" si="2"/>
        <v>25–34</v>
      </c>
      <c r="K185" t="str" cm="1">
        <f t="array" ref="K185">_xlfn.IFS(
  OR(MONTH(B185)=12, MONTH(B185)=1, MONTH(B185)=2), "Winter",
  OR(MONTH(B185)=3, MONTH(B185)=4, MONTH(B185)=5), "Spring",
  OR(MONTH(B185)=6, MONTH(B185)=7, MONTH(B185)=8), "Summer",
  OR(MONTH(B185)=9, MONTH(B185)=10, MONTH(B185)=11), "Fall"
)</f>
        <v>Winter</v>
      </c>
    </row>
    <row r="186" spans="1:11">
      <c r="A186">
        <v>185</v>
      </c>
      <c r="B186" s="1">
        <v>44984</v>
      </c>
      <c r="C186" t="s">
        <v>198</v>
      </c>
      <c r="D186" t="s">
        <v>10</v>
      </c>
      <c r="E186" s="2">
        <v>24</v>
      </c>
      <c r="F186" t="s">
        <v>14</v>
      </c>
      <c r="G186" s="2">
        <v>1</v>
      </c>
      <c r="H186" s="3">
        <v>25</v>
      </c>
      <c r="I186" s="3">
        <v>25</v>
      </c>
      <c r="J186" s="2" t="str">
        <f t="shared" si="2"/>
        <v>18–24</v>
      </c>
      <c r="K186" t="str" cm="1">
        <f t="array" ref="K186">_xlfn.IFS(
  OR(MONTH(B186)=12, MONTH(B186)=1, MONTH(B186)=2), "Winter",
  OR(MONTH(B186)=3, MONTH(B186)=4, MONTH(B186)=5), "Spring",
  OR(MONTH(B186)=6, MONTH(B186)=7, MONTH(B186)=8), "Summer",
  OR(MONTH(B186)=9, MONTH(B186)=10, MONTH(B186)=11), "Fall"
)</f>
        <v>Winter</v>
      </c>
    </row>
    <row r="187" spans="1:11">
      <c r="A187">
        <v>186</v>
      </c>
      <c r="B187" s="1">
        <v>45112</v>
      </c>
      <c r="C187" t="s">
        <v>199</v>
      </c>
      <c r="D187" t="s">
        <v>10</v>
      </c>
      <c r="E187" s="2">
        <v>20</v>
      </c>
      <c r="F187" t="s">
        <v>14</v>
      </c>
      <c r="G187" s="2">
        <v>4</v>
      </c>
      <c r="H187" s="3">
        <v>50</v>
      </c>
      <c r="I187" s="3">
        <v>200</v>
      </c>
      <c r="J187" s="2" t="str">
        <f t="shared" si="2"/>
        <v>18–24</v>
      </c>
      <c r="K187" t="str" cm="1">
        <f t="array" ref="K187">_xlfn.IFS(
  OR(MONTH(B187)=12, MONTH(B187)=1, MONTH(B187)=2), "Winter",
  OR(MONTH(B187)=3, MONTH(B187)=4, MONTH(B187)=5), "Spring",
  OR(MONTH(B187)=6, MONTH(B187)=7, MONTH(B187)=8), "Summer",
  OR(MONTH(B187)=9, MONTH(B187)=10, MONTH(B187)=11), "Fall"
)</f>
        <v>Summer</v>
      </c>
    </row>
    <row r="188" spans="1:11">
      <c r="A188">
        <v>187</v>
      </c>
      <c r="B188" s="1">
        <v>45084</v>
      </c>
      <c r="C188" t="s">
        <v>200</v>
      </c>
      <c r="D188" t="s">
        <v>13</v>
      </c>
      <c r="E188" s="2">
        <v>64</v>
      </c>
      <c r="F188" t="s">
        <v>14</v>
      </c>
      <c r="G188" s="2">
        <v>2</v>
      </c>
      <c r="H188" s="3">
        <v>50</v>
      </c>
      <c r="I188" s="3">
        <v>100</v>
      </c>
      <c r="J188" s="2" t="str">
        <f t="shared" si="2"/>
        <v>55–64</v>
      </c>
      <c r="K188" t="str" cm="1">
        <f t="array" ref="K188">_xlfn.IFS(
  OR(MONTH(B188)=12, MONTH(B188)=1, MONTH(B188)=2), "Winter",
  OR(MONTH(B188)=3, MONTH(B188)=4, MONTH(B188)=5), "Spring",
  OR(MONTH(B188)=6, MONTH(B188)=7, MONTH(B188)=8), "Summer",
  OR(MONTH(B188)=9, MONTH(B188)=10, MONTH(B188)=11), "Fall"
)</f>
        <v>Summer</v>
      </c>
    </row>
    <row r="189" spans="1:11">
      <c r="A189">
        <v>188</v>
      </c>
      <c r="B189" s="1">
        <v>45049</v>
      </c>
      <c r="C189" t="s">
        <v>201</v>
      </c>
      <c r="D189" t="s">
        <v>10</v>
      </c>
      <c r="E189" s="2">
        <v>40</v>
      </c>
      <c r="F189" t="s">
        <v>14</v>
      </c>
      <c r="G189" s="2">
        <v>3</v>
      </c>
      <c r="H189" s="3">
        <v>25</v>
      </c>
      <c r="I189" s="3">
        <v>75</v>
      </c>
      <c r="J189" s="2" t="str">
        <f t="shared" si="2"/>
        <v>35–44</v>
      </c>
      <c r="K189" t="str" cm="1">
        <f t="array" ref="K189">_xlfn.IFS(
  OR(MONTH(B189)=12, MONTH(B189)=1, MONTH(B189)=2), "Winter",
  OR(MONTH(B189)=3, MONTH(B189)=4, MONTH(B189)=5), "Spring",
  OR(MONTH(B189)=6, MONTH(B189)=7, MONTH(B189)=8), "Summer",
  OR(MONTH(B189)=9, MONTH(B189)=10, MONTH(B189)=11), "Fall"
)</f>
        <v>Spring</v>
      </c>
    </row>
    <row r="190" spans="1:11">
      <c r="A190">
        <v>189</v>
      </c>
      <c r="B190" s="1">
        <v>44956</v>
      </c>
      <c r="C190" t="s">
        <v>202</v>
      </c>
      <c r="D190" t="s">
        <v>10</v>
      </c>
      <c r="E190" s="2">
        <v>63</v>
      </c>
      <c r="F190" t="s">
        <v>11</v>
      </c>
      <c r="G190" s="2">
        <v>1</v>
      </c>
      <c r="H190" s="3">
        <v>50</v>
      </c>
      <c r="I190" s="3">
        <v>50</v>
      </c>
      <c r="J190" s="2" t="str">
        <f t="shared" si="2"/>
        <v>55–64</v>
      </c>
      <c r="K190" t="str" cm="1">
        <f t="array" ref="K190">_xlfn.IFS(
  OR(MONTH(B190)=12, MONTH(B190)=1, MONTH(B190)=2), "Winter",
  OR(MONTH(B190)=3, MONTH(B190)=4, MONTH(B190)=5), "Spring",
  OR(MONTH(B190)=6, MONTH(B190)=7, MONTH(B190)=8), "Summer",
  OR(MONTH(B190)=9, MONTH(B190)=10, MONTH(B190)=11), "Fall"
)</f>
        <v>Winter</v>
      </c>
    </row>
    <row r="191" spans="1:11">
      <c r="A191">
        <v>190</v>
      </c>
      <c r="B191" s="1">
        <v>45050</v>
      </c>
      <c r="C191" t="s">
        <v>203</v>
      </c>
      <c r="D191" t="s">
        <v>13</v>
      </c>
      <c r="E191" s="2">
        <v>60</v>
      </c>
      <c r="F191" t="s">
        <v>11</v>
      </c>
      <c r="G191" s="2">
        <v>3</v>
      </c>
      <c r="H191" s="3">
        <v>30</v>
      </c>
      <c r="I191" s="3">
        <v>90</v>
      </c>
      <c r="J191" s="2" t="str">
        <f t="shared" si="2"/>
        <v>55–64</v>
      </c>
      <c r="K191" t="str" cm="1">
        <f t="array" ref="K191">_xlfn.IFS(
  OR(MONTH(B191)=12, MONTH(B191)=1, MONTH(B191)=2), "Winter",
  OR(MONTH(B191)=3, MONTH(B191)=4, MONTH(B191)=5), "Spring",
  OR(MONTH(B191)=6, MONTH(B191)=7, MONTH(B191)=8), "Summer",
  OR(MONTH(B191)=9, MONTH(B191)=10, MONTH(B191)=11), "Fall"
)</f>
        <v>Spring</v>
      </c>
    </row>
    <row r="192" spans="1:11">
      <c r="A192">
        <v>191</v>
      </c>
      <c r="B192" s="1">
        <v>45217</v>
      </c>
      <c r="C192" t="s">
        <v>204</v>
      </c>
      <c r="D192" t="s">
        <v>10</v>
      </c>
      <c r="E192" s="2">
        <v>64</v>
      </c>
      <c r="F192" t="s">
        <v>11</v>
      </c>
      <c r="G192" s="2">
        <v>1</v>
      </c>
      <c r="H192" s="3">
        <v>25</v>
      </c>
      <c r="I192" s="3">
        <v>25</v>
      </c>
      <c r="J192" s="2" t="str">
        <f t="shared" si="2"/>
        <v>55–64</v>
      </c>
      <c r="K192" t="str" cm="1">
        <f t="array" ref="K192">_xlfn.IFS(
  OR(MONTH(B192)=12, MONTH(B192)=1, MONTH(B192)=2), "Winter",
  OR(MONTH(B192)=3, MONTH(B192)=4, MONTH(B192)=5), "Spring",
  OR(MONTH(B192)=6, MONTH(B192)=7, MONTH(B192)=8), "Summer",
  OR(MONTH(B192)=9, MONTH(B192)=10, MONTH(B192)=11), "Fall"
)</f>
        <v>Fall</v>
      </c>
    </row>
    <row r="193" spans="1:11">
      <c r="A193">
        <v>192</v>
      </c>
      <c r="B193" s="1">
        <v>44967</v>
      </c>
      <c r="C193" t="s">
        <v>205</v>
      </c>
      <c r="D193" t="s">
        <v>10</v>
      </c>
      <c r="E193" s="2">
        <v>62</v>
      </c>
      <c r="F193" t="s">
        <v>11</v>
      </c>
      <c r="G193" s="2">
        <v>2</v>
      </c>
      <c r="H193" s="3">
        <v>50</v>
      </c>
      <c r="I193" s="3">
        <v>100</v>
      </c>
      <c r="J193" s="2" t="str">
        <f t="shared" si="2"/>
        <v>55–64</v>
      </c>
      <c r="K193" t="str" cm="1">
        <f t="array" ref="K193">_xlfn.IFS(
  OR(MONTH(B193)=12, MONTH(B193)=1, MONTH(B193)=2), "Winter",
  OR(MONTH(B193)=3, MONTH(B193)=4, MONTH(B193)=5), "Spring",
  OR(MONTH(B193)=6, MONTH(B193)=7, MONTH(B193)=8), "Summer",
  OR(MONTH(B193)=9, MONTH(B193)=10, MONTH(B193)=11), "Fall"
)</f>
        <v>Winter</v>
      </c>
    </row>
    <row r="194" spans="1:11">
      <c r="A194">
        <v>193</v>
      </c>
      <c r="B194" s="1">
        <v>44970</v>
      </c>
      <c r="C194" t="s">
        <v>206</v>
      </c>
      <c r="D194" t="s">
        <v>10</v>
      </c>
      <c r="E194" s="2">
        <v>35</v>
      </c>
      <c r="F194" t="s">
        <v>11</v>
      </c>
      <c r="G194" s="2">
        <v>3</v>
      </c>
      <c r="H194" s="3">
        <v>500</v>
      </c>
      <c r="I194" s="3">
        <v>1500</v>
      </c>
      <c r="J194" s="2" t="str">
        <f t="shared" ref="J194:J257" si="3">IF(AND(E194&gt;=18, E194&lt;=24), "18–24",
 IF(AND(E194&gt;=25, E194&lt;=34), "25–34",
 IF(AND(E194&gt;=35, E194&lt;=44), "35–44",
 IF(AND(E194&gt;=45, E194&lt;=54), "45–54",
 IF(AND(E194&gt;=55, E194&lt;=64), "55–64", "Other")))))</f>
        <v>35–44</v>
      </c>
      <c r="K194" t="str" cm="1">
        <f t="array" ref="K194">_xlfn.IFS(
  OR(MONTH(B194)=12, MONTH(B194)=1, MONTH(B194)=2), "Winter",
  OR(MONTH(B194)=3, MONTH(B194)=4, MONTH(B194)=5), "Spring",
  OR(MONTH(B194)=6, MONTH(B194)=7, MONTH(B194)=8), "Summer",
  OR(MONTH(B194)=9, MONTH(B194)=10, MONTH(B194)=11), "Fall"
)</f>
        <v>Winter</v>
      </c>
    </row>
    <row r="195" spans="1:11">
      <c r="A195">
        <v>194</v>
      </c>
      <c r="B195" s="1">
        <v>45175</v>
      </c>
      <c r="C195" t="s">
        <v>207</v>
      </c>
      <c r="D195" t="s">
        <v>10</v>
      </c>
      <c r="E195" s="2">
        <v>55</v>
      </c>
      <c r="F195" t="s">
        <v>14</v>
      </c>
      <c r="G195" s="2">
        <v>4</v>
      </c>
      <c r="H195" s="3">
        <v>50</v>
      </c>
      <c r="I195" s="3">
        <v>200</v>
      </c>
      <c r="J195" s="2" t="str">
        <f t="shared" si="3"/>
        <v>55–64</v>
      </c>
      <c r="K195" t="str" cm="1">
        <f t="array" ref="K195">_xlfn.IFS(
  OR(MONTH(B195)=12, MONTH(B195)=1, MONTH(B195)=2), "Winter",
  OR(MONTH(B195)=3, MONTH(B195)=4, MONTH(B195)=5), "Spring",
  OR(MONTH(B195)=6, MONTH(B195)=7, MONTH(B195)=8), "Summer",
  OR(MONTH(B195)=9, MONTH(B195)=10, MONTH(B195)=11), "Fall"
)</f>
        <v>Fall</v>
      </c>
    </row>
    <row r="196" spans="1:11">
      <c r="A196">
        <v>195</v>
      </c>
      <c r="B196" s="1">
        <v>44962</v>
      </c>
      <c r="C196" t="s">
        <v>208</v>
      </c>
      <c r="D196" t="s">
        <v>10</v>
      </c>
      <c r="E196" s="2">
        <v>52</v>
      </c>
      <c r="F196" t="s">
        <v>14</v>
      </c>
      <c r="G196" s="2">
        <v>1</v>
      </c>
      <c r="H196" s="3">
        <v>30</v>
      </c>
      <c r="I196" s="3">
        <v>30</v>
      </c>
      <c r="J196" s="2" t="str">
        <f t="shared" si="3"/>
        <v>45–54</v>
      </c>
      <c r="K196" t="str" cm="1">
        <f t="array" ref="K196">_xlfn.IFS(
  OR(MONTH(B196)=12, MONTH(B196)=1, MONTH(B196)=2), "Winter",
  OR(MONTH(B196)=3, MONTH(B196)=4, MONTH(B196)=5), "Spring",
  OR(MONTH(B196)=6, MONTH(B196)=7, MONTH(B196)=8), "Summer",
  OR(MONTH(B196)=9, MONTH(B196)=10, MONTH(B196)=11), "Fall"
)</f>
        <v>Winter</v>
      </c>
    </row>
    <row r="197" spans="1:11">
      <c r="A197">
        <v>196</v>
      </c>
      <c r="B197" s="1">
        <v>45199</v>
      </c>
      <c r="C197" t="s">
        <v>209</v>
      </c>
      <c r="D197" t="s">
        <v>13</v>
      </c>
      <c r="E197" s="2">
        <v>32</v>
      </c>
      <c r="F197" t="s">
        <v>14</v>
      </c>
      <c r="G197" s="2">
        <v>3</v>
      </c>
      <c r="H197" s="3">
        <v>300</v>
      </c>
      <c r="I197" s="3">
        <v>900</v>
      </c>
      <c r="J197" s="2" t="str">
        <f t="shared" si="3"/>
        <v>25–34</v>
      </c>
      <c r="K197" t="str" cm="1">
        <f t="array" ref="K197">_xlfn.IFS(
  OR(MONTH(B197)=12, MONTH(B197)=1, MONTH(B197)=2), "Winter",
  OR(MONTH(B197)=3, MONTH(B197)=4, MONTH(B197)=5), "Spring",
  OR(MONTH(B197)=6, MONTH(B197)=7, MONTH(B197)=8), "Summer",
  OR(MONTH(B197)=9, MONTH(B197)=10, MONTH(B197)=11), "Fall"
)</f>
        <v>Fall</v>
      </c>
    </row>
    <row r="198" spans="1:11">
      <c r="A198">
        <v>197</v>
      </c>
      <c r="B198" s="1">
        <v>44991</v>
      </c>
      <c r="C198" t="s">
        <v>210</v>
      </c>
      <c r="D198" t="s">
        <v>13</v>
      </c>
      <c r="E198" s="2">
        <v>42</v>
      </c>
      <c r="F198" t="s">
        <v>14</v>
      </c>
      <c r="G198" s="2">
        <v>4</v>
      </c>
      <c r="H198" s="3">
        <v>50</v>
      </c>
      <c r="I198" s="3">
        <v>200</v>
      </c>
      <c r="J198" s="2" t="str">
        <f t="shared" si="3"/>
        <v>35–44</v>
      </c>
      <c r="K198" t="str" cm="1">
        <f t="array" ref="K198">_xlfn.IFS(
  OR(MONTH(B198)=12, MONTH(B198)=1, MONTH(B198)=2), "Winter",
  OR(MONTH(B198)=3, MONTH(B198)=4, MONTH(B198)=5), "Spring",
  OR(MONTH(B198)=6, MONTH(B198)=7, MONTH(B198)=8), "Summer",
  OR(MONTH(B198)=9, MONTH(B198)=10, MONTH(B198)=11), "Fall"
)</f>
        <v>Spring</v>
      </c>
    </row>
    <row r="199" spans="1:11">
      <c r="A199">
        <v>198</v>
      </c>
      <c r="B199" s="1">
        <v>44992</v>
      </c>
      <c r="C199" t="s">
        <v>211</v>
      </c>
      <c r="D199" t="s">
        <v>13</v>
      </c>
      <c r="E199" s="2">
        <v>54</v>
      </c>
      <c r="F199" t="s">
        <v>11</v>
      </c>
      <c r="G199" s="2">
        <v>3</v>
      </c>
      <c r="H199" s="3">
        <v>300</v>
      </c>
      <c r="I199" s="3">
        <v>900</v>
      </c>
      <c r="J199" s="2" t="str">
        <f t="shared" si="3"/>
        <v>45–54</v>
      </c>
      <c r="K199" t="str" cm="1">
        <f t="array" ref="K199">_xlfn.IFS(
  OR(MONTH(B199)=12, MONTH(B199)=1, MONTH(B199)=2), "Winter",
  OR(MONTH(B199)=3, MONTH(B199)=4, MONTH(B199)=5), "Spring",
  OR(MONTH(B199)=6, MONTH(B199)=7, MONTH(B199)=8), "Summer",
  OR(MONTH(B199)=9, MONTH(B199)=10, MONTH(B199)=11), "Fall"
)</f>
        <v>Spring</v>
      </c>
    </row>
    <row r="200" spans="1:11">
      <c r="A200">
        <v>199</v>
      </c>
      <c r="B200" s="1">
        <v>45264</v>
      </c>
      <c r="C200" t="s">
        <v>212</v>
      </c>
      <c r="D200" t="s">
        <v>10</v>
      </c>
      <c r="E200" s="2">
        <v>45</v>
      </c>
      <c r="F200" t="s">
        <v>11</v>
      </c>
      <c r="G200" s="2">
        <v>3</v>
      </c>
      <c r="H200" s="3">
        <v>500</v>
      </c>
      <c r="I200" s="3">
        <v>1500</v>
      </c>
      <c r="J200" s="2" t="str">
        <f t="shared" si="3"/>
        <v>45–54</v>
      </c>
      <c r="K200" t="str" cm="1">
        <f t="array" ref="K200">_xlfn.IFS(
  OR(MONTH(B200)=12, MONTH(B200)=1, MONTH(B200)=2), "Winter",
  OR(MONTH(B200)=3, MONTH(B200)=4, MONTH(B200)=5), "Spring",
  OR(MONTH(B200)=6, MONTH(B200)=7, MONTH(B200)=8), "Summer",
  OR(MONTH(B200)=9, MONTH(B200)=10, MONTH(B200)=11), "Fall"
)</f>
        <v>Winter</v>
      </c>
    </row>
    <row r="201" spans="1:11">
      <c r="A201">
        <v>200</v>
      </c>
      <c r="B201" s="1">
        <v>45170</v>
      </c>
      <c r="C201" t="s">
        <v>213</v>
      </c>
      <c r="D201" t="s">
        <v>10</v>
      </c>
      <c r="E201" s="2">
        <v>27</v>
      </c>
      <c r="F201" t="s">
        <v>11</v>
      </c>
      <c r="G201" s="2">
        <v>3</v>
      </c>
      <c r="H201" s="3">
        <v>50</v>
      </c>
      <c r="I201" s="3">
        <v>150</v>
      </c>
      <c r="J201" s="2" t="str">
        <f t="shared" si="3"/>
        <v>25–34</v>
      </c>
      <c r="K201" t="str" cm="1">
        <f t="array" ref="K201">_xlfn.IFS(
  OR(MONTH(B201)=12, MONTH(B201)=1, MONTH(B201)=2), "Winter",
  OR(MONTH(B201)=3, MONTH(B201)=4, MONTH(B201)=5), "Spring",
  OR(MONTH(B201)=6, MONTH(B201)=7, MONTH(B201)=8), "Summer",
  OR(MONTH(B201)=9, MONTH(B201)=10, MONTH(B201)=11), "Fall"
)</f>
        <v>Fall</v>
      </c>
    </row>
    <row r="202" spans="1:11">
      <c r="A202">
        <v>201</v>
      </c>
      <c r="B202" s="1">
        <v>45208</v>
      </c>
      <c r="C202" t="s">
        <v>214</v>
      </c>
      <c r="D202" t="s">
        <v>10</v>
      </c>
      <c r="E202" s="2">
        <v>56</v>
      </c>
      <c r="F202" t="s">
        <v>16</v>
      </c>
      <c r="G202" s="2">
        <v>1</v>
      </c>
      <c r="H202" s="3">
        <v>25</v>
      </c>
      <c r="I202" s="3">
        <v>25</v>
      </c>
      <c r="J202" s="2" t="str">
        <f t="shared" si="3"/>
        <v>55–64</v>
      </c>
      <c r="K202" t="str" cm="1">
        <f t="array" ref="K202">_xlfn.IFS(
  OR(MONTH(B202)=12, MONTH(B202)=1, MONTH(B202)=2), "Winter",
  OR(MONTH(B202)=3, MONTH(B202)=4, MONTH(B202)=5), "Spring",
  OR(MONTH(B202)=6, MONTH(B202)=7, MONTH(B202)=8), "Summer",
  OR(MONTH(B202)=9, MONTH(B202)=10, MONTH(B202)=11), "Fall"
)</f>
        <v>Fall</v>
      </c>
    </row>
    <row r="203" spans="1:11">
      <c r="A203">
        <v>202</v>
      </c>
      <c r="B203" s="1">
        <v>45011</v>
      </c>
      <c r="C203" t="s">
        <v>215</v>
      </c>
      <c r="D203" t="s">
        <v>13</v>
      </c>
      <c r="E203" s="2">
        <v>34</v>
      </c>
      <c r="F203" t="s">
        <v>14</v>
      </c>
      <c r="G203" s="2">
        <v>4</v>
      </c>
      <c r="H203" s="3">
        <v>300</v>
      </c>
      <c r="I203" s="3">
        <v>1200</v>
      </c>
      <c r="J203" s="2" t="str">
        <f t="shared" si="3"/>
        <v>25–34</v>
      </c>
      <c r="K203" t="str" cm="1">
        <f t="array" ref="K203">_xlfn.IFS(
  OR(MONTH(B203)=12, MONTH(B203)=1, MONTH(B203)=2), "Winter",
  OR(MONTH(B203)=3, MONTH(B203)=4, MONTH(B203)=5), "Spring",
  OR(MONTH(B203)=6, MONTH(B203)=7, MONTH(B203)=8), "Summer",
  OR(MONTH(B203)=9, MONTH(B203)=10, MONTH(B203)=11), "Fall"
)</f>
        <v>Spring</v>
      </c>
    </row>
    <row r="204" spans="1:11">
      <c r="A204">
        <v>203</v>
      </c>
      <c r="B204" s="1">
        <v>45062</v>
      </c>
      <c r="C204" t="s">
        <v>216</v>
      </c>
      <c r="D204" t="s">
        <v>10</v>
      </c>
      <c r="E204" s="2">
        <v>56</v>
      </c>
      <c r="F204" t="s">
        <v>14</v>
      </c>
      <c r="G204" s="2">
        <v>2</v>
      </c>
      <c r="H204" s="3">
        <v>500</v>
      </c>
      <c r="I204" s="3">
        <v>1000</v>
      </c>
      <c r="J204" s="2" t="str">
        <f t="shared" si="3"/>
        <v>55–64</v>
      </c>
      <c r="K204" t="str" cm="1">
        <f t="array" ref="K204">_xlfn.IFS(
  OR(MONTH(B204)=12, MONTH(B204)=1, MONTH(B204)=2), "Winter",
  OR(MONTH(B204)=3, MONTH(B204)=4, MONTH(B204)=5), "Spring",
  OR(MONTH(B204)=6, MONTH(B204)=7, MONTH(B204)=8), "Summer",
  OR(MONTH(B204)=9, MONTH(B204)=10, MONTH(B204)=11), "Fall"
)</f>
        <v>Spring</v>
      </c>
    </row>
    <row r="205" spans="1:11">
      <c r="A205">
        <v>204</v>
      </c>
      <c r="B205" s="1">
        <v>45197</v>
      </c>
      <c r="C205" t="s">
        <v>217</v>
      </c>
      <c r="D205" t="s">
        <v>10</v>
      </c>
      <c r="E205" s="2">
        <v>39</v>
      </c>
      <c r="F205" t="s">
        <v>11</v>
      </c>
      <c r="G205" s="2">
        <v>1</v>
      </c>
      <c r="H205" s="3">
        <v>25</v>
      </c>
      <c r="I205" s="3">
        <v>25</v>
      </c>
      <c r="J205" s="2" t="str">
        <f t="shared" si="3"/>
        <v>35–44</v>
      </c>
      <c r="K205" t="str" cm="1">
        <f t="array" ref="K205">_xlfn.IFS(
  OR(MONTH(B205)=12, MONTH(B205)=1, MONTH(B205)=2), "Winter",
  OR(MONTH(B205)=3, MONTH(B205)=4, MONTH(B205)=5), "Spring",
  OR(MONTH(B205)=6, MONTH(B205)=7, MONTH(B205)=8), "Summer",
  OR(MONTH(B205)=9, MONTH(B205)=10, MONTH(B205)=11), "Fall"
)</f>
        <v>Fall</v>
      </c>
    </row>
    <row r="206" spans="1:11">
      <c r="A206">
        <v>205</v>
      </c>
      <c r="B206" s="1">
        <v>45237</v>
      </c>
      <c r="C206" t="s">
        <v>218</v>
      </c>
      <c r="D206" t="s">
        <v>13</v>
      </c>
      <c r="E206" s="2">
        <v>43</v>
      </c>
      <c r="F206" t="s">
        <v>14</v>
      </c>
      <c r="G206" s="2">
        <v>1</v>
      </c>
      <c r="H206" s="3">
        <v>25</v>
      </c>
      <c r="I206" s="3">
        <v>25</v>
      </c>
      <c r="J206" s="2" t="str">
        <f t="shared" si="3"/>
        <v>35–44</v>
      </c>
      <c r="K206" t="str" cm="1">
        <f t="array" ref="K206">_xlfn.IFS(
  OR(MONTH(B206)=12, MONTH(B206)=1, MONTH(B206)=2), "Winter",
  OR(MONTH(B206)=3, MONTH(B206)=4, MONTH(B206)=5), "Spring",
  OR(MONTH(B206)=6, MONTH(B206)=7, MONTH(B206)=8), "Summer",
  OR(MONTH(B206)=9, MONTH(B206)=10, MONTH(B206)=11), "Fall"
)</f>
        <v>Fall</v>
      </c>
    </row>
    <row r="207" spans="1:11">
      <c r="A207">
        <v>206</v>
      </c>
      <c r="B207" s="1">
        <v>45143</v>
      </c>
      <c r="C207" t="s">
        <v>219</v>
      </c>
      <c r="D207" t="s">
        <v>10</v>
      </c>
      <c r="E207" s="2">
        <v>61</v>
      </c>
      <c r="F207" t="s">
        <v>14</v>
      </c>
      <c r="G207" s="2">
        <v>1</v>
      </c>
      <c r="H207" s="3">
        <v>25</v>
      </c>
      <c r="I207" s="3">
        <v>25</v>
      </c>
      <c r="J207" s="2" t="str">
        <f t="shared" si="3"/>
        <v>55–64</v>
      </c>
      <c r="K207" t="str" cm="1">
        <f t="array" ref="K207">_xlfn.IFS(
  OR(MONTH(B207)=12, MONTH(B207)=1, MONTH(B207)=2), "Winter",
  OR(MONTH(B207)=3, MONTH(B207)=4, MONTH(B207)=5), "Spring",
  OR(MONTH(B207)=6, MONTH(B207)=7, MONTH(B207)=8), "Summer",
  OR(MONTH(B207)=9, MONTH(B207)=10, MONTH(B207)=11), "Fall"
)</f>
        <v>Summer</v>
      </c>
    </row>
    <row r="208" spans="1:11">
      <c r="A208">
        <v>207</v>
      </c>
      <c r="B208" s="1">
        <v>45035</v>
      </c>
      <c r="C208" t="s">
        <v>220</v>
      </c>
      <c r="D208" t="s">
        <v>13</v>
      </c>
      <c r="E208" s="2">
        <v>42</v>
      </c>
      <c r="F208" t="s">
        <v>11</v>
      </c>
      <c r="G208" s="2">
        <v>2</v>
      </c>
      <c r="H208" s="3">
        <v>25</v>
      </c>
      <c r="I208" s="3">
        <v>50</v>
      </c>
      <c r="J208" s="2" t="str">
        <f t="shared" si="3"/>
        <v>35–44</v>
      </c>
      <c r="K208" t="str" cm="1">
        <f t="array" ref="K208">_xlfn.IFS(
  OR(MONTH(B208)=12, MONTH(B208)=1, MONTH(B208)=2), "Winter",
  OR(MONTH(B208)=3, MONTH(B208)=4, MONTH(B208)=5), "Spring",
  OR(MONTH(B208)=6, MONTH(B208)=7, MONTH(B208)=8), "Summer",
  OR(MONTH(B208)=9, MONTH(B208)=10, MONTH(B208)=11), "Fall"
)</f>
        <v>Spring</v>
      </c>
    </row>
    <row r="209" spans="1:11">
      <c r="A209">
        <v>208</v>
      </c>
      <c r="B209" s="1">
        <v>45203</v>
      </c>
      <c r="C209" t="s">
        <v>221</v>
      </c>
      <c r="D209" t="s">
        <v>13</v>
      </c>
      <c r="E209" s="2">
        <v>34</v>
      </c>
      <c r="F209" t="s">
        <v>16</v>
      </c>
      <c r="G209" s="2">
        <v>4</v>
      </c>
      <c r="H209" s="3">
        <v>50</v>
      </c>
      <c r="I209" s="3">
        <v>200</v>
      </c>
      <c r="J209" s="2" t="str">
        <f t="shared" si="3"/>
        <v>25–34</v>
      </c>
      <c r="K209" t="str" cm="1">
        <f t="array" ref="K209">_xlfn.IFS(
  OR(MONTH(B209)=12, MONTH(B209)=1, MONTH(B209)=2), "Winter",
  OR(MONTH(B209)=3, MONTH(B209)=4, MONTH(B209)=5), "Spring",
  OR(MONTH(B209)=6, MONTH(B209)=7, MONTH(B209)=8), "Summer",
  OR(MONTH(B209)=9, MONTH(B209)=10, MONTH(B209)=11), "Fall"
)</f>
        <v>Fall</v>
      </c>
    </row>
    <row r="210" spans="1:11">
      <c r="A210">
        <v>209</v>
      </c>
      <c r="B210" s="1">
        <v>45280</v>
      </c>
      <c r="C210" t="s">
        <v>222</v>
      </c>
      <c r="D210" t="s">
        <v>13</v>
      </c>
      <c r="E210" s="2">
        <v>30</v>
      </c>
      <c r="F210" t="s">
        <v>16</v>
      </c>
      <c r="G210" s="2">
        <v>4</v>
      </c>
      <c r="H210" s="3">
        <v>50</v>
      </c>
      <c r="I210" s="3">
        <v>200</v>
      </c>
      <c r="J210" s="2" t="str">
        <f t="shared" si="3"/>
        <v>25–34</v>
      </c>
      <c r="K210" t="str" cm="1">
        <f t="array" ref="K210">_xlfn.IFS(
  OR(MONTH(B210)=12, MONTH(B210)=1, MONTH(B210)=2), "Winter",
  OR(MONTH(B210)=3, MONTH(B210)=4, MONTH(B210)=5), "Spring",
  OR(MONTH(B210)=6, MONTH(B210)=7, MONTH(B210)=8), "Summer",
  OR(MONTH(B210)=9, MONTH(B210)=10, MONTH(B210)=11), "Fall"
)</f>
        <v>Winter</v>
      </c>
    </row>
    <row r="211" spans="1:11">
      <c r="A211">
        <v>210</v>
      </c>
      <c r="B211" s="1">
        <v>45029</v>
      </c>
      <c r="C211" t="s">
        <v>223</v>
      </c>
      <c r="D211" t="s">
        <v>10</v>
      </c>
      <c r="E211" s="2">
        <v>37</v>
      </c>
      <c r="F211" t="s">
        <v>16</v>
      </c>
      <c r="G211" s="2">
        <v>4</v>
      </c>
      <c r="H211" s="3">
        <v>50</v>
      </c>
      <c r="I211" s="3">
        <v>200</v>
      </c>
      <c r="J211" s="2" t="str">
        <f t="shared" si="3"/>
        <v>35–44</v>
      </c>
      <c r="K211" t="str" cm="1">
        <f t="array" ref="K211">_xlfn.IFS(
  OR(MONTH(B211)=12, MONTH(B211)=1, MONTH(B211)=2), "Winter",
  OR(MONTH(B211)=3, MONTH(B211)=4, MONTH(B211)=5), "Spring",
  OR(MONTH(B211)=6, MONTH(B211)=7, MONTH(B211)=8), "Summer",
  OR(MONTH(B211)=9, MONTH(B211)=10, MONTH(B211)=11), "Fall"
)</f>
        <v>Spring</v>
      </c>
    </row>
    <row r="212" spans="1:11">
      <c r="A212">
        <v>211</v>
      </c>
      <c r="B212" s="1">
        <v>45292</v>
      </c>
      <c r="C212" t="s">
        <v>224</v>
      </c>
      <c r="D212" t="s">
        <v>10</v>
      </c>
      <c r="E212" s="2">
        <v>42</v>
      </c>
      <c r="F212" t="s">
        <v>11</v>
      </c>
      <c r="G212" s="2">
        <v>3</v>
      </c>
      <c r="H212" s="3">
        <v>500</v>
      </c>
      <c r="I212" s="3">
        <v>1500</v>
      </c>
      <c r="J212" s="2" t="str">
        <f t="shared" si="3"/>
        <v>35–44</v>
      </c>
      <c r="K212" t="str" cm="1">
        <f t="array" ref="K212">_xlfn.IFS(
  OR(MONTH(B212)=12, MONTH(B212)=1, MONTH(B212)=2), "Winter",
  OR(MONTH(B212)=3, MONTH(B212)=4, MONTH(B212)=5), "Spring",
  OR(MONTH(B212)=6, MONTH(B212)=7, MONTH(B212)=8), "Summer",
  OR(MONTH(B212)=9, MONTH(B212)=10, MONTH(B212)=11), "Fall"
)</f>
        <v>Winter</v>
      </c>
    </row>
    <row r="213" spans="1:11">
      <c r="A213">
        <v>212</v>
      </c>
      <c r="B213" s="1">
        <v>45086</v>
      </c>
      <c r="C213" t="s">
        <v>225</v>
      </c>
      <c r="D213" t="s">
        <v>10</v>
      </c>
      <c r="E213" s="2">
        <v>21</v>
      </c>
      <c r="F213" t="s">
        <v>14</v>
      </c>
      <c r="G213" s="2">
        <v>3</v>
      </c>
      <c r="H213" s="3">
        <v>500</v>
      </c>
      <c r="I213" s="3">
        <v>1500</v>
      </c>
      <c r="J213" s="2" t="str">
        <f t="shared" si="3"/>
        <v>18–24</v>
      </c>
      <c r="K213" t="str" cm="1">
        <f t="array" ref="K213">_xlfn.IFS(
  OR(MONTH(B213)=12, MONTH(B213)=1, MONTH(B213)=2), "Winter",
  OR(MONTH(B213)=3, MONTH(B213)=4, MONTH(B213)=5), "Spring",
  OR(MONTH(B213)=6, MONTH(B213)=7, MONTH(B213)=8), "Summer",
  OR(MONTH(B213)=9, MONTH(B213)=10, MONTH(B213)=11), "Fall"
)</f>
        <v>Summer</v>
      </c>
    </row>
    <row r="214" spans="1:11">
      <c r="A214">
        <v>213</v>
      </c>
      <c r="B214" s="1">
        <v>45131</v>
      </c>
      <c r="C214" t="s">
        <v>226</v>
      </c>
      <c r="D214" t="s">
        <v>10</v>
      </c>
      <c r="E214" s="2">
        <v>27</v>
      </c>
      <c r="F214" t="s">
        <v>11</v>
      </c>
      <c r="G214" s="2">
        <v>3</v>
      </c>
      <c r="H214" s="3">
        <v>500</v>
      </c>
      <c r="I214" s="3">
        <v>1500</v>
      </c>
      <c r="J214" s="2" t="str">
        <f t="shared" si="3"/>
        <v>25–34</v>
      </c>
      <c r="K214" t="str" cm="1">
        <f t="array" ref="K214">_xlfn.IFS(
  OR(MONTH(B214)=12, MONTH(B214)=1, MONTH(B214)=2), "Winter",
  OR(MONTH(B214)=3, MONTH(B214)=4, MONTH(B214)=5), "Spring",
  OR(MONTH(B214)=6, MONTH(B214)=7, MONTH(B214)=8), "Summer",
  OR(MONTH(B214)=9, MONTH(B214)=10, MONTH(B214)=11), "Fall"
)</f>
        <v>Summer</v>
      </c>
    </row>
    <row r="215" spans="1:11">
      <c r="A215">
        <v>214</v>
      </c>
      <c r="B215" s="1">
        <v>45270</v>
      </c>
      <c r="C215" t="s">
        <v>227</v>
      </c>
      <c r="D215" t="s">
        <v>10</v>
      </c>
      <c r="E215" s="2">
        <v>20</v>
      </c>
      <c r="F215" t="s">
        <v>11</v>
      </c>
      <c r="G215" s="2">
        <v>2</v>
      </c>
      <c r="H215" s="3">
        <v>30</v>
      </c>
      <c r="I215" s="3">
        <v>60</v>
      </c>
      <c r="J215" s="2" t="str">
        <f t="shared" si="3"/>
        <v>18–24</v>
      </c>
      <c r="K215" t="str" cm="1">
        <f t="array" ref="K215">_xlfn.IFS(
  OR(MONTH(B215)=12, MONTH(B215)=1, MONTH(B215)=2), "Winter",
  OR(MONTH(B215)=3, MONTH(B215)=4, MONTH(B215)=5), "Spring",
  OR(MONTH(B215)=6, MONTH(B215)=7, MONTH(B215)=8), "Summer",
  OR(MONTH(B215)=9, MONTH(B215)=10, MONTH(B215)=11), "Fall"
)</f>
        <v>Winter</v>
      </c>
    </row>
    <row r="216" spans="1:11">
      <c r="A216">
        <v>215</v>
      </c>
      <c r="B216" s="1">
        <v>45259</v>
      </c>
      <c r="C216" t="s">
        <v>228</v>
      </c>
      <c r="D216" t="s">
        <v>10</v>
      </c>
      <c r="E216" s="2">
        <v>58</v>
      </c>
      <c r="F216" t="s">
        <v>14</v>
      </c>
      <c r="G216" s="2">
        <v>3</v>
      </c>
      <c r="H216" s="3">
        <v>500</v>
      </c>
      <c r="I216" s="3">
        <v>1500</v>
      </c>
      <c r="J216" s="2" t="str">
        <f t="shared" si="3"/>
        <v>55–64</v>
      </c>
      <c r="K216" t="str" cm="1">
        <f t="array" ref="K216">_xlfn.IFS(
  OR(MONTH(B216)=12, MONTH(B216)=1, MONTH(B216)=2), "Winter",
  OR(MONTH(B216)=3, MONTH(B216)=4, MONTH(B216)=5), "Spring",
  OR(MONTH(B216)=6, MONTH(B216)=7, MONTH(B216)=8), "Summer",
  OR(MONTH(B216)=9, MONTH(B216)=10, MONTH(B216)=11), "Fall"
)</f>
        <v>Fall</v>
      </c>
    </row>
    <row r="217" spans="1:11">
      <c r="A217">
        <v>216</v>
      </c>
      <c r="B217" s="1">
        <v>45118</v>
      </c>
      <c r="C217" t="s">
        <v>229</v>
      </c>
      <c r="D217" t="s">
        <v>10</v>
      </c>
      <c r="E217" s="2">
        <v>62</v>
      </c>
      <c r="F217" t="s">
        <v>16</v>
      </c>
      <c r="G217" s="2">
        <v>2</v>
      </c>
      <c r="H217" s="3">
        <v>50</v>
      </c>
      <c r="I217" s="3">
        <v>100</v>
      </c>
      <c r="J217" s="2" t="str">
        <f t="shared" si="3"/>
        <v>55–64</v>
      </c>
      <c r="K217" t="str" cm="1">
        <f t="array" ref="K217">_xlfn.IFS(
  OR(MONTH(B217)=12, MONTH(B217)=1, MONTH(B217)=2), "Winter",
  OR(MONTH(B217)=3, MONTH(B217)=4, MONTH(B217)=5), "Spring",
  OR(MONTH(B217)=6, MONTH(B217)=7, MONTH(B217)=8), "Summer",
  OR(MONTH(B217)=9, MONTH(B217)=10, MONTH(B217)=11), "Fall"
)</f>
        <v>Summer</v>
      </c>
    </row>
    <row r="218" spans="1:11">
      <c r="A218">
        <v>217</v>
      </c>
      <c r="B218" s="1">
        <v>45151</v>
      </c>
      <c r="C218" t="s">
        <v>230</v>
      </c>
      <c r="D218" t="s">
        <v>13</v>
      </c>
      <c r="E218" s="2">
        <v>35</v>
      </c>
      <c r="F218" t="s">
        <v>16</v>
      </c>
      <c r="G218" s="2">
        <v>4</v>
      </c>
      <c r="H218" s="3">
        <v>50</v>
      </c>
      <c r="I218" s="3">
        <v>200</v>
      </c>
      <c r="J218" s="2" t="str">
        <f t="shared" si="3"/>
        <v>35–44</v>
      </c>
      <c r="K218" t="str" cm="1">
        <f t="array" ref="K218">_xlfn.IFS(
  OR(MONTH(B218)=12, MONTH(B218)=1, MONTH(B218)=2), "Winter",
  OR(MONTH(B218)=3, MONTH(B218)=4, MONTH(B218)=5), "Spring",
  OR(MONTH(B218)=6, MONTH(B218)=7, MONTH(B218)=8), "Summer",
  OR(MONTH(B218)=9, MONTH(B218)=10, MONTH(B218)=11), "Fall"
)</f>
        <v>Summer</v>
      </c>
    </row>
    <row r="219" spans="1:11">
      <c r="A219">
        <v>218</v>
      </c>
      <c r="B219" s="1">
        <v>45191</v>
      </c>
      <c r="C219" t="s">
        <v>231</v>
      </c>
      <c r="D219" t="s">
        <v>10</v>
      </c>
      <c r="E219" s="2">
        <v>64</v>
      </c>
      <c r="F219" t="s">
        <v>11</v>
      </c>
      <c r="G219" s="2">
        <v>3</v>
      </c>
      <c r="H219" s="3">
        <v>30</v>
      </c>
      <c r="I219" s="3">
        <v>90</v>
      </c>
      <c r="J219" s="2" t="str">
        <f t="shared" si="3"/>
        <v>55–64</v>
      </c>
      <c r="K219" t="str" cm="1">
        <f t="array" ref="K219">_xlfn.IFS(
  OR(MONTH(B219)=12, MONTH(B219)=1, MONTH(B219)=2), "Winter",
  OR(MONTH(B219)=3, MONTH(B219)=4, MONTH(B219)=5), "Spring",
  OR(MONTH(B219)=6, MONTH(B219)=7, MONTH(B219)=8), "Summer",
  OR(MONTH(B219)=9, MONTH(B219)=10, MONTH(B219)=11), "Fall"
)</f>
        <v>Fall</v>
      </c>
    </row>
    <row r="220" spans="1:11">
      <c r="A220">
        <v>219</v>
      </c>
      <c r="B220" s="1">
        <v>45158</v>
      </c>
      <c r="C220" t="s">
        <v>232</v>
      </c>
      <c r="D220" t="s">
        <v>13</v>
      </c>
      <c r="E220" s="2">
        <v>53</v>
      </c>
      <c r="F220" t="s">
        <v>16</v>
      </c>
      <c r="G220" s="2">
        <v>3</v>
      </c>
      <c r="H220" s="3">
        <v>30</v>
      </c>
      <c r="I220" s="3">
        <v>90</v>
      </c>
      <c r="J220" s="2" t="str">
        <f t="shared" si="3"/>
        <v>45–54</v>
      </c>
      <c r="K220" t="str" cm="1">
        <f t="array" ref="K220">_xlfn.IFS(
  OR(MONTH(B220)=12, MONTH(B220)=1, MONTH(B220)=2), "Winter",
  OR(MONTH(B220)=3, MONTH(B220)=4, MONTH(B220)=5), "Spring",
  OR(MONTH(B220)=6, MONTH(B220)=7, MONTH(B220)=8), "Summer",
  OR(MONTH(B220)=9, MONTH(B220)=10, MONTH(B220)=11), "Fall"
)</f>
        <v>Summer</v>
      </c>
    </row>
    <row r="221" spans="1:11">
      <c r="A221">
        <v>220</v>
      </c>
      <c r="B221" s="1">
        <v>44988</v>
      </c>
      <c r="C221" t="s">
        <v>233</v>
      </c>
      <c r="D221" t="s">
        <v>10</v>
      </c>
      <c r="E221" s="2">
        <v>64</v>
      </c>
      <c r="F221" t="s">
        <v>11</v>
      </c>
      <c r="G221" s="2">
        <v>1</v>
      </c>
      <c r="H221" s="3">
        <v>500</v>
      </c>
      <c r="I221" s="3">
        <v>500</v>
      </c>
      <c r="J221" s="2" t="str">
        <f t="shared" si="3"/>
        <v>55–64</v>
      </c>
      <c r="K221" t="str" cm="1">
        <f t="array" ref="K221">_xlfn.IFS(
  OR(MONTH(B221)=12, MONTH(B221)=1, MONTH(B221)=2), "Winter",
  OR(MONTH(B221)=3, MONTH(B221)=4, MONTH(B221)=5), "Spring",
  OR(MONTH(B221)=6, MONTH(B221)=7, MONTH(B221)=8), "Summer",
  OR(MONTH(B221)=9, MONTH(B221)=10, MONTH(B221)=11), "Fall"
)</f>
        <v>Spring</v>
      </c>
    </row>
    <row r="222" spans="1:11">
      <c r="A222">
        <v>221</v>
      </c>
      <c r="B222" s="1">
        <v>45053</v>
      </c>
      <c r="C222" t="s">
        <v>234</v>
      </c>
      <c r="D222" t="s">
        <v>10</v>
      </c>
      <c r="E222" s="2">
        <v>39</v>
      </c>
      <c r="F222" t="s">
        <v>11</v>
      </c>
      <c r="G222" s="2">
        <v>2</v>
      </c>
      <c r="H222" s="3">
        <v>300</v>
      </c>
      <c r="I222" s="3">
        <v>600</v>
      </c>
      <c r="J222" s="2" t="str">
        <f t="shared" si="3"/>
        <v>35–44</v>
      </c>
      <c r="K222" t="str" cm="1">
        <f t="array" ref="K222">_xlfn.IFS(
  OR(MONTH(B222)=12, MONTH(B222)=1, MONTH(B222)=2), "Winter",
  OR(MONTH(B222)=3, MONTH(B222)=4, MONTH(B222)=5), "Spring",
  OR(MONTH(B222)=6, MONTH(B222)=7, MONTH(B222)=8), "Summer",
  OR(MONTH(B222)=9, MONTH(B222)=10, MONTH(B222)=11), "Fall"
)</f>
        <v>Spring</v>
      </c>
    </row>
    <row r="223" spans="1:11">
      <c r="A223">
        <v>222</v>
      </c>
      <c r="B223" s="1">
        <v>45042</v>
      </c>
      <c r="C223" t="s">
        <v>235</v>
      </c>
      <c r="D223" t="s">
        <v>10</v>
      </c>
      <c r="E223" s="2">
        <v>51</v>
      </c>
      <c r="F223" t="s">
        <v>14</v>
      </c>
      <c r="G223" s="2">
        <v>4</v>
      </c>
      <c r="H223" s="3">
        <v>30</v>
      </c>
      <c r="I223" s="3">
        <v>120</v>
      </c>
      <c r="J223" s="2" t="str">
        <f t="shared" si="3"/>
        <v>45–54</v>
      </c>
      <c r="K223" t="str" cm="1">
        <f t="array" ref="K223">_xlfn.IFS(
  OR(MONTH(B223)=12, MONTH(B223)=1, MONTH(B223)=2), "Winter",
  OR(MONTH(B223)=3, MONTH(B223)=4, MONTH(B223)=5), "Spring",
  OR(MONTH(B223)=6, MONTH(B223)=7, MONTH(B223)=8), "Summer",
  OR(MONTH(B223)=9, MONTH(B223)=10, MONTH(B223)=11), "Fall"
)</f>
        <v>Spring</v>
      </c>
    </row>
    <row r="224" spans="1:11">
      <c r="A224">
        <v>223</v>
      </c>
      <c r="B224" s="1">
        <v>44959</v>
      </c>
      <c r="C224" t="s">
        <v>236</v>
      </c>
      <c r="D224" t="s">
        <v>13</v>
      </c>
      <c r="E224" s="2">
        <v>64</v>
      </c>
      <c r="F224" t="s">
        <v>14</v>
      </c>
      <c r="G224" s="2">
        <v>1</v>
      </c>
      <c r="H224" s="3">
        <v>25</v>
      </c>
      <c r="I224" s="3">
        <v>25</v>
      </c>
      <c r="J224" s="2" t="str">
        <f t="shared" si="3"/>
        <v>55–64</v>
      </c>
      <c r="K224" t="str" cm="1">
        <f t="array" ref="K224">_xlfn.IFS(
  OR(MONTH(B224)=12, MONTH(B224)=1, MONTH(B224)=2), "Winter",
  OR(MONTH(B224)=3, MONTH(B224)=4, MONTH(B224)=5), "Spring",
  OR(MONTH(B224)=6, MONTH(B224)=7, MONTH(B224)=8), "Summer",
  OR(MONTH(B224)=9, MONTH(B224)=10, MONTH(B224)=11), "Fall"
)</f>
        <v>Winter</v>
      </c>
    </row>
    <row r="225" spans="1:11">
      <c r="A225">
        <v>224</v>
      </c>
      <c r="B225" s="1">
        <v>45100</v>
      </c>
      <c r="C225" t="s">
        <v>237</v>
      </c>
      <c r="D225" t="s">
        <v>13</v>
      </c>
      <c r="E225" s="2">
        <v>25</v>
      </c>
      <c r="F225" t="s">
        <v>14</v>
      </c>
      <c r="G225" s="2">
        <v>1</v>
      </c>
      <c r="H225" s="3">
        <v>50</v>
      </c>
      <c r="I225" s="3">
        <v>50</v>
      </c>
      <c r="J225" s="2" t="str">
        <f t="shared" si="3"/>
        <v>25–34</v>
      </c>
      <c r="K225" t="str" cm="1">
        <f t="array" ref="K225">_xlfn.IFS(
  OR(MONTH(B225)=12, MONTH(B225)=1, MONTH(B225)=2), "Winter",
  OR(MONTH(B225)=3, MONTH(B225)=4, MONTH(B225)=5), "Spring",
  OR(MONTH(B225)=6, MONTH(B225)=7, MONTH(B225)=8), "Summer",
  OR(MONTH(B225)=9, MONTH(B225)=10, MONTH(B225)=11), "Fall"
)</f>
        <v>Summer</v>
      </c>
    </row>
    <row r="226" spans="1:11">
      <c r="A226">
        <v>225</v>
      </c>
      <c r="B226" s="1">
        <v>44937</v>
      </c>
      <c r="C226" t="s">
        <v>238</v>
      </c>
      <c r="D226" t="s">
        <v>13</v>
      </c>
      <c r="E226" s="2">
        <v>57</v>
      </c>
      <c r="F226" t="s">
        <v>11</v>
      </c>
      <c r="G226" s="2">
        <v>4</v>
      </c>
      <c r="H226" s="3">
        <v>25</v>
      </c>
      <c r="I226" s="3">
        <v>100</v>
      </c>
      <c r="J226" s="2" t="str">
        <f t="shared" si="3"/>
        <v>55–64</v>
      </c>
      <c r="K226" t="str" cm="1">
        <f t="array" ref="K226">_xlfn.IFS(
  OR(MONTH(B226)=12, MONTH(B226)=1, MONTH(B226)=2), "Winter",
  OR(MONTH(B226)=3, MONTH(B226)=4, MONTH(B226)=5), "Spring",
  OR(MONTH(B226)=6, MONTH(B226)=7, MONTH(B226)=8), "Summer",
  OR(MONTH(B226)=9, MONTH(B226)=10, MONTH(B226)=11), "Fall"
)</f>
        <v>Winter</v>
      </c>
    </row>
    <row r="227" spans="1:11">
      <c r="A227">
        <v>226</v>
      </c>
      <c r="B227" s="1">
        <v>45228</v>
      </c>
      <c r="C227" t="s">
        <v>239</v>
      </c>
      <c r="D227" t="s">
        <v>13</v>
      </c>
      <c r="E227" s="2">
        <v>61</v>
      </c>
      <c r="F227" t="s">
        <v>14</v>
      </c>
      <c r="G227" s="2">
        <v>1</v>
      </c>
      <c r="H227" s="3">
        <v>50</v>
      </c>
      <c r="I227" s="3">
        <v>50</v>
      </c>
      <c r="J227" s="2" t="str">
        <f t="shared" si="3"/>
        <v>55–64</v>
      </c>
      <c r="K227" t="str" cm="1">
        <f t="array" ref="K227">_xlfn.IFS(
  OR(MONTH(B227)=12, MONTH(B227)=1, MONTH(B227)=2), "Winter",
  OR(MONTH(B227)=3, MONTH(B227)=4, MONTH(B227)=5), "Spring",
  OR(MONTH(B227)=6, MONTH(B227)=7, MONTH(B227)=8), "Summer",
  OR(MONTH(B227)=9, MONTH(B227)=10, MONTH(B227)=11), "Fall"
)</f>
        <v>Fall</v>
      </c>
    </row>
    <row r="228" spans="1:11">
      <c r="A228">
        <v>227</v>
      </c>
      <c r="B228" s="1">
        <v>45210</v>
      </c>
      <c r="C228" t="s">
        <v>240</v>
      </c>
      <c r="D228" t="s">
        <v>10</v>
      </c>
      <c r="E228" s="2">
        <v>36</v>
      </c>
      <c r="F228" t="s">
        <v>16</v>
      </c>
      <c r="G228" s="2">
        <v>2</v>
      </c>
      <c r="H228" s="3">
        <v>50</v>
      </c>
      <c r="I228" s="3">
        <v>100</v>
      </c>
      <c r="J228" s="2" t="str">
        <f t="shared" si="3"/>
        <v>35–44</v>
      </c>
      <c r="K228" t="str" cm="1">
        <f t="array" ref="K228">_xlfn.IFS(
  OR(MONTH(B228)=12, MONTH(B228)=1, MONTH(B228)=2), "Winter",
  OR(MONTH(B228)=3, MONTH(B228)=4, MONTH(B228)=5), "Spring",
  OR(MONTH(B228)=6, MONTH(B228)=7, MONTH(B228)=8), "Summer",
  OR(MONTH(B228)=9, MONTH(B228)=10, MONTH(B228)=11), "Fall"
)</f>
        <v>Fall</v>
      </c>
    </row>
    <row r="229" spans="1:11">
      <c r="A229">
        <v>228</v>
      </c>
      <c r="B229" s="1">
        <v>45044</v>
      </c>
      <c r="C229" t="s">
        <v>241</v>
      </c>
      <c r="D229" t="s">
        <v>13</v>
      </c>
      <c r="E229" s="2">
        <v>59</v>
      </c>
      <c r="F229" t="s">
        <v>16</v>
      </c>
      <c r="G229" s="2">
        <v>2</v>
      </c>
      <c r="H229" s="3">
        <v>30</v>
      </c>
      <c r="I229" s="3">
        <v>60</v>
      </c>
      <c r="J229" s="2" t="str">
        <f t="shared" si="3"/>
        <v>55–64</v>
      </c>
      <c r="K229" t="str" cm="1">
        <f t="array" ref="K229">_xlfn.IFS(
  OR(MONTH(B229)=12, MONTH(B229)=1, MONTH(B229)=2), "Winter",
  OR(MONTH(B229)=3, MONTH(B229)=4, MONTH(B229)=5), "Spring",
  OR(MONTH(B229)=6, MONTH(B229)=7, MONTH(B229)=8), "Summer",
  OR(MONTH(B229)=9, MONTH(B229)=10, MONTH(B229)=11), "Fall"
)</f>
        <v>Spring</v>
      </c>
    </row>
    <row r="230" spans="1:11">
      <c r="A230">
        <v>229</v>
      </c>
      <c r="B230" s="1">
        <v>45228</v>
      </c>
      <c r="C230" t="s">
        <v>242</v>
      </c>
      <c r="D230" t="s">
        <v>10</v>
      </c>
      <c r="E230" s="2">
        <v>58</v>
      </c>
      <c r="F230" t="s">
        <v>11</v>
      </c>
      <c r="G230" s="2">
        <v>3</v>
      </c>
      <c r="H230" s="3">
        <v>30</v>
      </c>
      <c r="I230" s="3">
        <v>90</v>
      </c>
      <c r="J230" s="2" t="str">
        <f t="shared" si="3"/>
        <v>55–64</v>
      </c>
      <c r="K230" t="str" cm="1">
        <f t="array" ref="K230">_xlfn.IFS(
  OR(MONTH(B230)=12, MONTH(B230)=1, MONTH(B230)=2), "Winter",
  OR(MONTH(B230)=3, MONTH(B230)=4, MONTH(B230)=5), "Spring",
  OR(MONTH(B230)=6, MONTH(B230)=7, MONTH(B230)=8), "Summer",
  OR(MONTH(B230)=9, MONTH(B230)=10, MONTH(B230)=11), "Fall"
)</f>
        <v>Fall</v>
      </c>
    </row>
    <row r="231" spans="1:11">
      <c r="A231">
        <v>230</v>
      </c>
      <c r="B231" s="1">
        <v>45039</v>
      </c>
      <c r="C231" t="s">
        <v>243</v>
      </c>
      <c r="D231" t="s">
        <v>10</v>
      </c>
      <c r="E231" s="2">
        <v>54</v>
      </c>
      <c r="F231" t="s">
        <v>11</v>
      </c>
      <c r="G231" s="2">
        <v>1</v>
      </c>
      <c r="H231" s="3">
        <v>25</v>
      </c>
      <c r="I231" s="3">
        <v>25</v>
      </c>
      <c r="J231" s="2" t="str">
        <f t="shared" si="3"/>
        <v>45–54</v>
      </c>
      <c r="K231" t="str" cm="1">
        <f t="array" ref="K231">_xlfn.IFS(
  OR(MONTH(B231)=12, MONTH(B231)=1, MONTH(B231)=2), "Winter",
  OR(MONTH(B231)=3, MONTH(B231)=4, MONTH(B231)=5), "Spring",
  OR(MONTH(B231)=6, MONTH(B231)=7, MONTH(B231)=8), "Summer",
  OR(MONTH(B231)=9, MONTH(B231)=10, MONTH(B231)=11), "Fall"
)</f>
        <v>Spring</v>
      </c>
    </row>
    <row r="232" spans="1:11">
      <c r="A232">
        <v>231</v>
      </c>
      <c r="B232" s="1">
        <v>44930</v>
      </c>
      <c r="C232" t="s">
        <v>244</v>
      </c>
      <c r="D232" t="s">
        <v>13</v>
      </c>
      <c r="E232" s="2">
        <v>23</v>
      </c>
      <c r="F232" t="s">
        <v>14</v>
      </c>
      <c r="G232" s="2">
        <v>3</v>
      </c>
      <c r="H232" s="3">
        <v>50</v>
      </c>
      <c r="I232" s="3">
        <v>150</v>
      </c>
      <c r="J232" s="2" t="str">
        <f t="shared" si="3"/>
        <v>18–24</v>
      </c>
      <c r="K232" t="str" cm="1">
        <f t="array" ref="K232">_xlfn.IFS(
  OR(MONTH(B232)=12, MONTH(B232)=1, MONTH(B232)=2), "Winter",
  OR(MONTH(B232)=3, MONTH(B232)=4, MONTH(B232)=5), "Spring",
  OR(MONTH(B232)=6, MONTH(B232)=7, MONTH(B232)=8), "Summer",
  OR(MONTH(B232)=9, MONTH(B232)=10, MONTH(B232)=11), "Fall"
)</f>
        <v>Winter</v>
      </c>
    </row>
    <row r="233" spans="1:11">
      <c r="A233">
        <v>232</v>
      </c>
      <c r="B233" s="1">
        <v>44963</v>
      </c>
      <c r="C233" t="s">
        <v>245</v>
      </c>
      <c r="D233" t="s">
        <v>13</v>
      </c>
      <c r="E233" s="2">
        <v>43</v>
      </c>
      <c r="F233" t="s">
        <v>11</v>
      </c>
      <c r="G233" s="2">
        <v>1</v>
      </c>
      <c r="H233" s="3">
        <v>25</v>
      </c>
      <c r="I233" s="3">
        <v>25</v>
      </c>
      <c r="J233" s="2" t="str">
        <f t="shared" si="3"/>
        <v>35–44</v>
      </c>
      <c r="K233" t="str" cm="1">
        <f t="array" ref="K233">_xlfn.IFS(
  OR(MONTH(B233)=12, MONTH(B233)=1, MONTH(B233)=2), "Winter",
  OR(MONTH(B233)=3, MONTH(B233)=4, MONTH(B233)=5), "Spring",
  OR(MONTH(B233)=6, MONTH(B233)=7, MONTH(B233)=8), "Summer",
  OR(MONTH(B233)=9, MONTH(B233)=10, MONTH(B233)=11), "Fall"
)</f>
        <v>Winter</v>
      </c>
    </row>
    <row r="234" spans="1:11">
      <c r="A234">
        <v>233</v>
      </c>
      <c r="B234" s="1">
        <v>45289</v>
      </c>
      <c r="C234" t="s">
        <v>246</v>
      </c>
      <c r="D234" t="s">
        <v>13</v>
      </c>
      <c r="E234" s="2">
        <v>51</v>
      </c>
      <c r="F234" t="s">
        <v>11</v>
      </c>
      <c r="G234" s="2">
        <v>2</v>
      </c>
      <c r="H234" s="3">
        <v>300</v>
      </c>
      <c r="I234" s="3">
        <v>600</v>
      </c>
      <c r="J234" s="2" t="str">
        <f t="shared" si="3"/>
        <v>45–54</v>
      </c>
      <c r="K234" t="str" cm="1">
        <f t="array" ref="K234">_xlfn.IFS(
  OR(MONTH(B234)=12, MONTH(B234)=1, MONTH(B234)=2), "Winter",
  OR(MONTH(B234)=3, MONTH(B234)=4, MONTH(B234)=5), "Spring",
  OR(MONTH(B234)=6, MONTH(B234)=7, MONTH(B234)=8), "Summer",
  OR(MONTH(B234)=9, MONTH(B234)=10, MONTH(B234)=11), "Fall"
)</f>
        <v>Winter</v>
      </c>
    </row>
    <row r="235" spans="1:11">
      <c r="A235">
        <v>234</v>
      </c>
      <c r="B235" s="1">
        <v>45250</v>
      </c>
      <c r="C235" t="s">
        <v>247</v>
      </c>
      <c r="D235" t="s">
        <v>13</v>
      </c>
      <c r="E235" s="2">
        <v>62</v>
      </c>
      <c r="F235" t="s">
        <v>16</v>
      </c>
      <c r="G235" s="2">
        <v>2</v>
      </c>
      <c r="H235" s="3">
        <v>25</v>
      </c>
      <c r="I235" s="3">
        <v>50</v>
      </c>
      <c r="J235" s="2" t="str">
        <f t="shared" si="3"/>
        <v>55–64</v>
      </c>
      <c r="K235" t="str" cm="1">
        <f t="array" ref="K235">_xlfn.IFS(
  OR(MONTH(B235)=12, MONTH(B235)=1, MONTH(B235)=2), "Winter",
  OR(MONTH(B235)=3, MONTH(B235)=4, MONTH(B235)=5), "Spring",
  OR(MONTH(B235)=6, MONTH(B235)=7, MONTH(B235)=8), "Summer",
  OR(MONTH(B235)=9, MONTH(B235)=10, MONTH(B235)=11), "Fall"
)</f>
        <v>Fall</v>
      </c>
    </row>
    <row r="236" spans="1:11">
      <c r="A236">
        <v>235</v>
      </c>
      <c r="B236" s="1">
        <v>44957</v>
      </c>
      <c r="C236" t="s">
        <v>248</v>
      </c>
      <c r="D236" t="s">
        <v>13</v>
      </c>
      <c r="E236" s="2">
        <v>23</v>
      </c>
      <c r="F236" t="s">
        <v>16</v>
      </c>
      <c r="G236" s="2">
        <v>2</v>
      </c>
      <c r="H236" s="3">
        <v>500</v>
      </c>
      <c r="I236" s="3">
        <v>1000</v>
      </c>
      <c r="J236" s="2" t="str">
        <f t="shared" si="3"/>
        <v>18–24</v>
      </c>
      <c r="K236" t="str" cm="1">
        <f t="array" ref="K236">_xlfn.IFS(
  OR(MONTH(B236)=12, MONTH(B236)=1, MONTH(B236)=2), "Winter",
  OR(MONTH(B236)=3, MONTH(B236)=4, MONTH(B236)=5), "Spring",
  OR(MONTH(B236)=6, MONTH(B236)=7, MONTH(B236)=8), "Summer",
  OR(MONTH(B236)=9, MONTH(B236)=10, MONTH(B236)=11), "Fall"
)</f>
        <v>Winter</v>
      </c>
    </row>
    <row r="237" spans="1:11">
      <c r="A237">
        <v>236</v>
      </c>
      <c r="B237" s="1">
        <v>45044</v>
      </c>
      <c r="C237" t="s">
        <v>249</v>
      </c>
      <c r="D237" t="s">
        <v>13</v>
      </c>
      <c r="E237" s="2">
        <v>54</v>
      </c>
      <c r="F237" t="s">
        <v>14</v>
      </c>
      <c r="G237" s="2">
        <v>1</v>
      </c>
      <c r="H237" s="3">
        <v>25</v>
      </c>
      <c r="I237" s="3">
        <v>25</v>
      </c>
      <c r="J237" s="2" t="str">
        <f t="shared" si="3"/>
        <v>45–54</v>
      </c>
      <c r="K237" t="str" cm="1">
        <f t="array" ref="K237">_xlfn.IFS(
  OR(MONTH(B237)=12, MONTH(B237)=1, MONTH(B237)=2), "Winter",
  OR(MONTH(B237)=3, MONTH(B237)=4, MONTH(B237)=5), "Spring",
  OR(MONTH(B237)=6, MONTH(B237)=7, MONTH(B237)=8), "Summer",
  OR(MONTH(B237)=9, MONTH(B237)=10, MONTH(B237)=11), "Fall"
)</f>
        <v>Spring</v>
      </c>
    </row>
    <row r="238" spans="1:11">
      <c r="A238">
        <v>237</v>
      </c>
      <c r="B238" s="1">
        <v>44961</v>
      </c>
      <c r="C238" t="s">
        <v>250</v>
      </c>
      <c r="D238" t="s">
        <v>13</v>
      </c>
      <c r="E238" s="2">
        <v>50</v>
      </c>
      <c r="F238" t="s">
        <v>11</v>
      </c>
      <c r="G238" s="2">
        <v>2</v>
      </c>
      <c r="H238" s="3">
        <v>500</v>
      </c>
      <c r="I238" s="3">
        <v>1000</v>
      </c>
      <c r="J238" s="2" t="str">
        <f t="shared" si="3"/>
        <v>45–54</v>
      </c>
      <c r="K238" t="str" cm="1">
        <f t="array" ref="K238">_xlfn.IFS(
  OR(MONTH(B238)=12, MONTH(B238)=1, MONTH(B238)=2), "Winter",
  OR(MONTH(B238)=3, MONTH(B238)=4, MONTH(B238)=5), "Spring",
  OR(MONTH(B238)=6, MONTH(B238)=7, MONTH(B238)=8), "Summer",
  OR(MONTH(B238)=9, MONTH(B238)=10, MONTH(B238)=11), "Fall"
)</f>
        <v>Winter</v>
      </c>
    </row>
    <row r="239" spans="1:11">
      <c r="A239">
        <v>238</v>
      </c>
      <c r="B239" s="1">
        <v>44943</v>
      </c>
      <c r="C239" t="s">
        <v>251</v>
      </c>
      <c r="D239" t="s">
        <v>13</v>
      </c>
      <c r="E239" s="2">
        <v>39</v>
      </c>
      <c r="F239" t="s">
        <v>11</v>
      </c>
      <c r="G239" s="2">
        <v>1</v>
      </c>
      <c r="H239" s="3">
        <v>500</v>
      </c>
      <c r="I239" s="3">
        <v>500</v>
      </c>
      <c r="J239" s="2" t="str">
        <f t="shared" si="3"/>
        <v>35–44</v>
      </c>
      <c r="K239" t="str" cm="1">
        <f t="array" ref="K239">_xlfn.IFS(
  OR(MONTH(B239)=12, MONTH(B239)=1, MONTH(B239)=2), "Winter",
  OR(MONTH(B239)=3, MONTH(B239)=4, MONTH(B239)=5), "Spring",
  OR(MONTH(B239)=6, MONTH(B239)=7, MONTH(B239)=8), "Summer",
  OR(MONTH(B239)=9, MONTH(B239)=10, MONTH(B239)=11), "Fall"
)</f>
        <v>Winter</v>
      </c>
    </row>
    <row r="240" spans="1:11">
      <c r="A240">
        <v>239</v>
      </c>
      <c r="B240" s="1">
        <v>45096</v>
      </c>
      <c r="C240" t="s">
        <v>252</v>
      </c>
      <c r="D240" t="s">
        <v>10</v>
      </c>
      <c r="E240" s="2">
        <v>38</v>
      </c>
      <c r="F240" t="s">
        <v>16</v>
      </c>
      <c r="G240" s="2">
        <v>3</v>
      </c>
      <c r="H240" s="3">
        <v>500</v>
      </c>
      <c r="I240" s="3">
        <v>1500</v>
      </c>
      <c r="J240" s="2" t="str">
        <f t="shared" si="3"/>
        <v>35–44</v>
      </c>
      <c r="K240" t="str" cm="1">
        <f t="array" ref="K240">_xlfn.IFS(
  OR(MONTH(B240)=12, MONTH(B240)=1, MONTH(B240)=2), "Winter",
  OR(MONTH(B240)=3, MONTH(B240)=4, MONTH(B240)=5), "Spring",
  OR(MONTH(B240)=6, MONTH(B240)=7, MONTH(B240)=8), "Summer",
  OR(MONTH(B240)=9, MONTH(B240)=10, MONTH(B240)=11), "Fall"
)</f>
        <v>Summer</v>
      </c>
    </row>
    <row r="241" spans="1:11">
      <c r="A241">
        <v>240</v>
      </c>
      <c r="B241" s="1">
        <v>44963</v>
      </c>
      <c r="C241" t="s">
        <v>253</v>
      </c>
      <c r="D241" t="s">
        <v>13</v>
      </c>
      <c r="E241" s="2">
        <v>23</v>
      </c>
      <c r="F241" t="s">
        <v>11</v>
      </c>
      <c r="G241" s="2">
        <v>1</v>
      </c>
      <c r="H241" s="3">
        <v>300</v>
      </c>
      <c r="I241" s="3">
        <v>300</v>
      </c>
      <c r="J241" s="2" t="str">
        <f t="shared" si="3"/>
        <v>18–24</v>
      </c>
      <c r="K241" t="str" cm="1">
        <f t="array" ref="K241">_xlfn.IFS(
  OR(MONTH(B241)=12, MONTH(B241)=1, MONTH(B241)=2), "Winter",
  OR(MONTH(B241)=3, MONTH(B241)=4, MONTH(B241)=5), "Spring",
  OR(MONTH(B241)=6, MONTH(B241)=7, MONTH(B241)=8), "Summer",
  OR(MONTH(B241)=9, MONTH(B241)=10, MONTH(B241)=11), "Fall"
)</f>
        <v>Winter</v>
      </c>
    </row>
    <row r="242" spans="1:11">
      <c r="A242">
        <v>241</v>
      </c>
      <c r="B242" s="1">
        <v>45190</v>
      </c>
      <c r="C242" t="s">
        <v>254</v>
      </c>
      <c r="D242" t="s">
        <v>13</v>
      </c>
      <c r="E242" s="2">
        <v>23</v>
      </c>
      <c r="F242" t="s">
        <v>16</v>
      </c>
      <c r="G242" s="2">
        <v>3</v>
      </c>
      <c r="H242" s="3">
        <v>25</v>
      </c>
      <c r="I242" s="3">
        <v>75</v>
      </c>
      <c r="J242" s="2" t="str">
        <f t="shared" si="3"/>
        <v>18–24</v>
      </c>
      <c r="K242" t="str" cm="1">
        <f t="array" ref="K242">_xlfn.IFS(
  OR(MONTH(B242)=12, MONTH(B242)=1, MONTH(B242)=2), "Winter",
  OR(MONTH(B242)=3, MONTH(B242)=4, MONTH(B242)=5), "Spring",
  OR(MONTH(B242)=6, MONTH(B242)=7, MONTH(B242)=8), "Summer",
  OR(MONTH(B242)=9, MONTH(B242)=10, MONTH(B242)=11), "Fall"
)</f>
        <v>Fall</v>
      </c>
    </row>
    <row r="243" spans="1:11">
      <c r="A243">
        <v>242</v>
      </c>
      <c r="B243" s="1">
        <v>45048</v>
      </c>
      <c r="C243" t="s">
        <v>255</v>
      </c>
      <c r="D243" t="s">
        <v>10</v>
      </c>
      <c r="E243" s="2">
        <v>21</v>
      </c>
      <c r="F243" t="s">
        <v>14</v>
      </c>
      <c r="G243" s="2">
        <v>1</v>
      </c>
      <c r="H243" s="3">
        <v>25</v>
      </c>
      <c r="I243" s="3">
        <v>25</v>
      </c>
      <c r="J243" s="2" t="str">
        <f t="shared" si="3"/>
        <v>18–24</v>
      </c>
      <c r="K243" t="str" cm="1">
        <f t="array" ref="K243">_xlfn.IFS(
  OR(MONTH(B243)=12, MONTH(B243)=1, MONTH(B243)=2), "Winter",
  OR(MONTH(B243)=3, MONTH(B243)=4, MONTH(B243)=5), "Spring",
  OR(MONTH(B243)=6, MONTH(B243)=7, MONTH(B243)=8), "Summer",
  OR(MONTH(B243)=9, MONTH(B243)=10, MONTH(B243)=11), "Fall"
)</f>
        <v>Spring</v>
      </c>
    </row>
    <row r="244" spans="1:11">
      <c r="A244">
        <v>243</v>
      </c>
      <c r="B244" s="1">
        <v>45069</v>
      </c>
      <c r="C244" t="s">
        <v>256</v>
      </c>
      <c r="D244" t="s">
        <v>13</v>
      </c>
      <c r="E244" s="2">
        <v>47</v>
      </c>
      <c r="F244" t="s">
        <v>16</v>
      </c>
      <c r="G244" s="2">
        <v>3</v>
      </c>
      <c r="H244" s="3">
        <v>300</v>
      </c>
      <c r="I244" s="3">
        <v>900</v>
      </c>
      <c r="J244" s="2" t="str">
        <f t="shared" si="3"/>
        <v>45–54</v>
      </c>
      <c r="K244" t="str" cm="1">
        <f t="array" ref="K244">_xlfn.IFS(
  OR(MONTH(B244)=12, MONTH(B244)=1, MONTH(B244)=2), "Winter",
  OR(MONTH(B244)=3, MONTH(B244)=4, MONTH(B244)=5), "Spring",
  OR(MONTH(B244)=6, MONTH(B244)=7, MONTH(B244)=8), "Summer",
  OR(MONTH(B244)=9, MONTH(B244)=10, MONTH(B244)=11), "Fall"
)</f>
        <v>Spring</v>
      </c>
    </row>
    <row r="245" spans="1:11">
      <c r="A245">
        <v>244</v>
      </c>
      <c r="B245" s="1">
        <v>45269</v>
      </c>
      <c r="C245" t="s">
        <v>257</v>
      </c>
      <c r="D245" t="s">
        <v>10</v>
      </c>
      <c r="E245" s="2">
        <v>28</v>
      </c>
      <c r="F245" t="s">
        <v>11</v>
      </c>
      <c r="G245" s="2">
        <v>2</v>
      </c>
      <c r="H245" s="3">
        <v>50</v>
      </c>
      <c r="I245" s="3">
        <v>100</v>
      </c>
      <c r="J245" s="2" t="str">
        <f t="shared" si="3"/>
        <v>25–34</v>
      </c>
      <c r="K245" t="str" cm="1">
        <f t="array" ref="K245">_xlfn.IFS(
  OR(MONTH(B245)=12, MONTH(B245)=1, MONTH(B245)=2), "Winter",
  OR(MONTH(B245)=3, MONTH(B245)=4, MONTH(B245)=5), "Spring",
  OR(MONTH(B245)=6, MONTH(B245)=7, MONTH(B245)=8), "Summer",
  OR(MONTH(B245)=9, MONTH(B245)=10, MONTH(B245)=11), "Fall"
)</f>
        <v>Winter</v>
      </c>
    </row>
    <row r="246" spans="1:11">
      <c r="A246">
        <v>245</v>
      </c>
      <c r="B246" s="1">
        <v>45175</v>
      </c>
      <c r="C246" t="s">
        <v>258</v>
      </c>
      <c r="D246" t="s">
        <v>10</v>
      </c>
      <c r="E246" s="2">
        <v>47</v>
      </c>
      <c r="F246" t="s">
        <v>14</v>
      </c>
      <c r="G246" s="2">
        <v>3</v>
      </c>
      <c r="H246" s="3">
        <v>30</v>
      </c>
      <c r="I246" s="3">
        <v>90</v>
      </c>
      <c r="J246" s="2" t="str">
        <f t="shared" si="3"/>
        <v>45–54</v>
      </c>
      <c r="K246" t="str" cm="1">
        <f t="array" ref="K246">_xlfn.IFS(
  OR(MONTH(B246)=12, MONTH(B246)=1, MONTH(B246)=2), "Winter",
  OR(MONTH(B246)=3, MONTH(B246)=4, MONTH(B246)=5), "Spring",
  OR(MONTH(B246)=6, MONTH(B246)=7, MONTH(B246)=8), "Summer",
  OR(MONTH(B246)=9, MONTH(B246)=10, MONTH(B246)=11), "Fall"
)</f>
        <v>Fall</v>
      </c>
    </row>
    <row r="247" spans="1:11">
      <c r="A247">
        <v>246</v>
      </c>
      <c r="B247" s="1">
        <v>45036</v>
      </c>
      <c r="C247" t="s">
        <v>259</v>
      </c>
      <c r="D247" t="s">
        <v>13</v>
      </c>
      <c r="E247" s="2">
        <v>48</v>
      </c>
      <c r="F247" t="s">
        <v>16</v>
      </c>
      <c r="G247" s="2">
        <v>2</v>
      </c>
      <c r="H247" s="3">
        <v>25</v>
      </c>
      <c r="I247" s="3">
        <v>50</v>
      </c>
      <c r="J247" s="2" t="str">
        <f t="shared" si="3"/>
        <v>45–54</v>
      </c>
      <c r="K247" t="str" cm="1">
        <f t="array" ref="K247">_xlfn.IFS(
  OR(MONTH(B247)=12, MONTH(B247)=1, MONTH(B247)=2), "Winter",
  OR(MONTH(B247)=3, MONTH(B247)=4, MONTH(B247)=5), "Spring",
  OR(MONTH(B247)=6, MONTH(B247)=7, MONTH(B247)=8), "Summer",
  OR(MONTH(B247)=9, MONTH(B247)=10, MONTH(B247)=11), "Fall"
)</f>
        <v>Spring</v>
      </c>
    </row>
    <row r="248" spans="1:11">
      <c r="A248">
        <v>247</v>
      </c>
      <c r="B248" s="1">
        <v>45203</v>
      </c>
      <c r="C248" t="s">
        <v>260</v>
      </c>
      <c r="D248" t="s">
        <v>10</v>
      </c>
      <c r="E248" s="2">
        <v>41</v>
      </c>
      <c r="F248" t="s">
        <v>16</v>
      </c>
      <c r="G248" s="2">
        <v>2</v>
      </c>
      <c r="H248" s="3">
        <v>30</v>
      </c>
      <c r="I248" s="3">
        <v>60</v>
      </c>
      <c r="J248" s="2" t="str">
        <f t="shared" si="3"/>
        <v>35–44</v>
      </c>
      <c r="K248" t="str" cm="1">
        <f t="array" ref="K248">_xlfn.IFS(
  OR(MONTH(B248)=12, MONTH(B248)=1, MONTH(B248)=2), "Winter",
  OR(MONTH(B248)=3, MONTH(B248)=4, MONTH(B248)=5), "Spring",
  OR(MONTH(B248)=6, MONTH(B248)=7, MONTH(B248)=8), "Summer",
  OR(MONTH(B248)=9, MONTH(B248)=10, MONTH(B248)=11), "Fall"
)</f>
        <v>Fall</v>
      </c>
    </row>
    <row r="249" spans="1:11">
      <c r="A249">
        <v>248</v>
      </c>
      <c r="B249" s="1">
        <v>44994</v>
      </c>
      <c r="C249" t="s">
        <v>261</v>
      </c>
      <c r="D249" t="s">
        <v>10</v>
      </c>
      <c r="E249" s="2">
        <v>26</v>
      </c>
      <c r="F249" t="s">
        <v>14</v>
      </c>
      <c r="G249" s="2">
        <v>3</v>
      </c>
      <c r="H249" s="3">
        <v>300</v>
      </c>
      <c r="I249" s="3">
        <v>900</v>
      </c>
      <c r="J249" s="2" t="str">
        <f t="shared" si="3"/>
        <v>25–34</v>
      </c>
      <c r="K249" t="str" cm="1">
        <f t="array" ref="K249">_xlfn.IFS(
  OR(MONTH(B249)=12, MONTH(B249)=1, MONTH(B249)=2), "Winter",
  OR(MONTH(B249)=3, MONTH(B249)=4, MONTH(B249)=5), "Spring",
  OR(MONTH(B249)=6, MONTH(B249)=7, MONTH(B249)=8), "Summer",
  OR(MONTH(B249)=9, MONTH(B249)=10, MONTH(B249)=11), "Fall"
)</f>
        <v>Spring</v>
      </c>
    </row>
    <row r="250" spans="1:11">
      <c r="A250">
        <v>249</v>
      </c>
      <c r="B250" s="1">
        <v>45219</v>
      </c>
      <c r="C250" t="s">
        <v>262</v>
      </c>
      <c r="D250" t="s">
        <v>10</v>
      </c>
      <c r="E250" s="2">
        <v>20</v>
      </c>
      <c r="F250" t="s">
        <v>14</v>
      </c>
      <c r="G250" s="2">
        <v>1</v>
      </c>
      <c r="H250" s="3">
        <v>50</v>
      </c>
      <c r="I250" s="3">
        <v>50</v>
      </c>
      <c r="J250" s="2" t="str">
        <f t="shared" si="3"/>
        <v>18–24</v>
      </c>
      <c r="K250" t="str" cm="1">
        <f t="array" ref="K250">_xlfn.IFS(
  OR(MONTH(B250)=12, MONTH(B250)=1, MONTH(B250)=2), "Winter",
  OR(MONTH(B250)=3, MONTH(B250)=4, MONTH(B250)=5), "Spring",
  OR(MONTH(B250)=6, MONTH(B250)=7, MONTH(B250)=8), "Summer",
  OR(MONTH(B250)=9, MONTH(B250)=10, MONTH(B250)=11), "Fall"
)</f>
        <v>Fall</v>
      </c>
    </row>
    <row r="251" spans="1:11">
      <c r="A251">
        <v>250</v>
      </c>
      <c r="B251" s="1">
        <v>45222</v>
      </c>
      <c r="C251" t="s">
        <v>263</v>
      </c>
      <c r="D251" t="s">
        <v>10</v>
      </c>
      <c r="E251" s="2">
        <v>48</v>
      </c>
      <c r="F251" t="s">
        <v>16</v>
      </c>
      <c r="G251" s="2">
        <v>1</v>
      </c>
      <c r="H251" s="3">
        <v>50</v>
      </c>
      <c r="I251" s="3">
        <v>50</v>
      </c>
      <c r="J251" s="2" t="str">
        <f t="shared" si="3"/>
        <v>45–54</v>
      </c>
      <c r="K251" t="str" cm="1">
        <f t="array" ref="K251">_xlfn.IFS(
  OR(MONTH(B251)=12, MONTH(B251)=1, MONTH(B251)=2), "Winter",
  OR(MONTH(B251)=3, MONTH(B251)=4, MONTH(B251)=5), "Spring",
  OR(MONTH(B251)=6, MONTH(B251)=7, MONTH(B251)=8), "Summer",
  OR(MONTH(B251)=9, MONTH(B251)=10, MONTH(B251)=11), "Fall"
)</f>
        <v>Fall</v>
      </c>
    </row>
    <row r="252" spans="1:11">
      <c r="A252">
        <v>251</v>
      </c>
      <c r="B252" s="1">
        <v>45169</v>
      </c>
      <c r="C252" t="s">
        <v>264</v>
      </c>
      <c r="D252" t="s">
        <v>13</v>
      </c>
      <c r="E252" s="2">
        <v>57</v>
      </c>
      <c r="F252" t="s">
        <v>11</v>
      </c>
      <c r="G252" s="2">
        <v>4</v>
      </c>
      <c r="H252" s="3">
        <v>50</v>
      </c>
      <c r="I252" s="3">
        <v>200</v>
      </c>
      <c r="J252" s="2" t="str">
        <f t="shared" si="3"/>
        <v>55–64</v>
      </c>
      <c r="K252" t="str" cm="1">
        <f t="array" ref="K252">_xlfn.IFS(
  OR(MONTH(B252)=12, MONTH(B252)=1, MONTH(B252)=2), "Winter",
  OR(MONTH(B252)=3, MONTH(B252)=4, MONTH(B252)=5), "Spring",
  OR(MONTH(B252)=6, MONTH(B252)=7, MONTH(B252)=8), "Summer",
  OR(MONTH(B252)=9, MONTH(B252)=10, MONTH(B252)=11), "Fall"
)</f>
        <v>Summer</v>
      </c>
    </row>
    <row r="253" spans="1:11">
      <c r="A253">
        <v>252</v>
      </c>
      <c r="B253" s="1">
        <v>45051</v>
      </c>
      <c r="C253" t="s">
        <v>265</v>
      </c>
      <c r="D253" t="s">
        <v>10</v>
      </c>
      <c r="E253" s="2">
        <v>54</v>
      </c>
      <c r="F253" t="s">
        <v>16</v>
      </c>
      <c r="G253" s="2">
        <v>1</v>
      </c>
      <c r="H253" s="3">
        <v>300</v>
      </c>
      <c r="I253" s="3">
        <v>300</v>
      </c>
      <c r="J253" s="2" t="str">
        <f t="shared" si="3"/>
        <v>45–54</v>
      </c>
      <c r="K253" t="str" cm="1">
        <f t="array" ref="K253">_xlfn.IFS(
  OR(MONTH(B253)=12, MONTH(B253)=1, MONTH(B253)=2), "Winter",
  OR(MONTH(B253)=3, MONTH(B253)=4, MONTH(B253)=5), "Spring",
  OR(MONTH(B253)=6, MONTH(B253)=7, MONTH(B253)=8), "Summer",
  OR(MONTH(B253)=9, MONTH(B253)=10, MONTH(B253)=11), "Fall"
)</f>
        <v>Spring</v>
      </c>
    </row>
    <row r="254" spans="1:11">
      <c r="A254">
        <v>253</v>
      </c>
      <c r="B254" s="1">
        <v>45169</v>
      </c>
      <c r="C254" t="s">
        <v>266</v>
      </c>
      <c r="D254" t="s">
        <v>13</v>
      </c>
      <c r="E254" s="2">
        <v>53</v>
      </c>
      <c r="F254" t="s">
        <v>14</v>
      </c>
      <c r="G254" s="2">
        <v>4</v>
      </c>
      <c r="H254" s="3">
        <v>500</v>
      </c>
      <c r="I254" s="3">
        <v>2000</v>
      </c>
      <c r="J254" s="2" t="str">
        <f t="shared" si="3"/>
        <v>45–54</v>
      </c>
      <c r="K254" t="str" cm="1">
        <f t="array" ref="K254">_xlfn.IFS(
  OR(MONTH(B254)=12, MONTH(B254)=1, MONTH(B254)=2), "Winter",
  OR(MONTH(B254)=3, MONTH(B254)=4, MONTH(B254)=5), "Spring",
  OR(MONTH(B254)=6, MONTH(B254)=7, MONTH(B254)=8), "Summer",
  OR(MONTH(B254)=9, MONTH(B254)=10, MONTH(B254)=11), "Fall"
)</f>
        <v>Summer</v>
      </c>
    </row>
    <row r="255" spans="1:11">
      <c r="A255">
        <v>254</v>
      </c>
      <c r="B255" s="1">
        <v>45135</v>
      </c>
      <c r="C255" t="s">
        <v>267</v>
      </c>
      <c r="D255" t="s">
        <v>10</v>
      </c>
      <c r="E255" s="2">
        <v>41</v>
      </c>
      <c r="F255" t="s">
        <v>16</v>
      </c>
      <c r="G255" s="2">
        <v>1</v>
      </c>
      <c r="H255" s="3">
        <v>500</v>
      </c>
      <c r="I255" s="3">
        <v>500</v>
      </c>
      <c r="J255" s="2" t="str">
        <f t="shared" si="3"/>
        <v>35–44</v>
      </c>
      <c r="K255" t="str" cm="1">
        <f t="array" ref="K255">_xlfn.IFS(
  OR(MONTH(B255)=12, MONTH(B255)=1, MONTH(B255)=2), "Winter",
  OR(MONTH(B255)=3, MONTH(B255)=4, MONTH(B255)=5), "Spring",
  OR(MONTH(B255)=6, MONTH(B255)=7, MONTH(B255)=8), "Summer",
  OR(MONTH(B255)=9, MONTH(B255)=10, MONTH(B255)=11), "Fall"
)</f>
        <v>Summer</v>
      </c>
    </row>
    <row r="256" spans="1:11">
      <c r="A256">
        <v>255</v>
      </c>
      <c r="B256" s="1">
        <v>45024</v>
      </c>
      <c r="C256" t="s">
        <v>268</v>
      </c>
      <c r="D256" t="s">
        <v>10</v>
      </c>
      <c r="E256" s="2">
        <v>48</v>
      </c>
      <c r="F256" t="s">
        <v>14</v>
      </c>
      <c r="G256" s="2">
        <v>1</v>
      </c>
      <c r="H256" s="3">
        <v>30</v>
      </c>
      <c r="I256" s="3">
        <v>30</v>
      </c>
      <c r="J256" s="2" t="str">
        <f t="shared" si="3"/>
        <v>45–54</v>
      </c>
      <c r="K256" t="str" cm="1">
        <f t="array" ref="K256">_xlfn.IFS(
  OR(MONTH(B256)=12, MONTH(B256)=1, MONTH(B256)=2), "Winter",
  OR(MONTH(B256)=3, MONTH(B256)=4, MONTH(B256)=5), "Spring",
  OR(MONTH(B256)=6, MONTH(B256)=7, MONTH(B256)=8), "Summer",
  OR(MONTH(B256)=9, MONTH(B256)=10, MONTH(B256)=11), "Fall"
)</f>
        <v>Spring</v>
      </c>
    </row>
    <row r="257" spans="1:11">
      <c r="A257">
        <v>256</v>
      </c>
      <c r="B257" s="1">
        <v>44975</v>
      </c>
      <c r="C257" t="s">
        <v>269</v>
      </c>
      <c r="D257" t="s">
        <v>10</v>
      </c>
      <c r="E257" s="2">
        <v>23</v>
      </c>
      <c r="F257" t="s">
        <v>14</v>
      </c>
      <c r="G257" s="2">
        <v>2</v>
      </c>
      <c r="H257" s="3">
        <v>500</v>
      </c>
      <c r="I257" s="3">
        <v>1000</v>
      </c>
      <c r="J257" s="2" t="str">
        <f t="shared" si="3"/>
        <v>18–24</v>
      </c>
      <c r="K257" t="str" cm="1">
        <f t="array" ref="K257">_xlfn.IFS(
  OR(MONTH(B257)=12, MONTH(B257)=1, MONTH(B257)=2), "Winter",
  OR(MONTH(B257)=3, MONTH(B257)=4, MONTH(B257)=5), "Spring",
  OR(MONTH(B257)=6, MONTH(B257)=7, MONTH(B257)=8), "Summer",
  OR(MONTH(B257)=9, MONTH(B257)=10, MONTH(B257)=11), "Fall"
)</f>
        <v>Winter</v>
      </c>
    </row>
    <row r="258" spans="1:11">
      <c r="A258">
        <v>257</v>
      </c>
      <c r="B258" s="1">
        <v>44976</v>
      </c>
      <c r="C258" t="s">
        <v>270</v>
      </c>
      <c r="D258" t="s">
        <v>10</v>
      </c>
      <c r="E258" s="2">
        <v>19</v>
      </c>
      <c r="F258" t="s">
        <v>11</v>
      </c>
      <c r="G258" s="2">
        <v>4</v>
      </c>
      <c r="H258" s="3">
        <v>500</v>
      </c>
      <c r="I258" s="3">
        <v>2000</v>
      </c>
      <c r="J258" s="2" t="str">
        <f t="shared" ref="J258:J321" si="4">IF(AND(E258&gt;=18, E258&lt;=24), "18–24",
 IF(AND(E258&gt;=25, E258&lt;=34), "25–34",
 IF(AND(E258&gt;=35, E258&lt;=44), "35–44",
 IF(AND(E258&gt;=45, E258&lt;=54), "45–54",
 IF(AND(E258&gt;=55, E258&lt;=64), "55–64", "Other")))))</f>
        <v>18–24</v>
      </c>
      <c r="K258" t="str" cm="1">
        <f t="array" ref="K258">_xlfn.IFS(
  OR(MONTH(B258)=12, MONTH(B258)=1, MONTH(B258)=2), "Winter",
  OR(MONTH(B258)=3, MONTH(B258)=4, MONTH(B258)=5), "Spring",
  OR(MONTH(B258)=6, MONTH(B258)=7, MONTH(B258)=8), "Summer",
  OR(MONTH(B258)=9, MONTH(B258)=10, MONTH(B258)=11), "Fall"
)</f>
        <v>Winter</v>
      </c>
    </row>
    <row r="259" spans="1:11">
      <c r="A259">
        <v>258</v>
      </c>
      <c r="B259" s="1">
        <v>45264</v>
      </c>
      <c r="C259" t="s">
        <v>271</v>
      </c>
      <c r="D259" t="s">
        <v>13</v>
      </c>
      <c r="E259" s="2">
        <v>37</v>
      </c>
      <c r="F259" t="s">
        <v>14</v>
      </c>
      <c r="G259" s="2">
        <v>1</v>
      </c>
      <c r="H259" s="3">
        <v>50</v>
      </c>
      <c r="I259" s="3">
        <v>50</v>
      </c>
      <c r="J259" s="2" t="str">
        <f t="shared" si="4"/>
        <v>35–44</v>
      </c>
      <c r="K259" t="str" cm="1">
        <f t="array" ref="K259">_xlfn.IFS(
  OR(MONTH(B259)=12, MONTH(B259)=1, MONTH(B259)=2), "Winter",
  OR(MONTH(B259)=3, MONTH(B259)=4, MONTH(B259)=5), "Spring",
  OR(MONTH(B259)=6, MONTH(B259)=7, MONTH(B259)=8), "Summer",
  OR(MONTH(B259)=9, MONTH(B259)=10, MONTH(B259)=11), "Fall"
)</f>
        <v>Winter</v>
      </c>
    </row>
    <row r="260" spans="1:11">
      <c r="A260">
        <v>259</v>
      </c>
      <c r="B260" s="1">
        <v>45147</v>
      </c>
      <c r="C260" t="s">
        <v>272</v>
      </c>
      <c r="D260" t="s">
        <v>13</v>
      </c>
      <c r="E260" s="2">
        <v>45</v>
      </c>
      <c r="F260" t="s">
        <v>14</v>
      </c>
      <c r="G260" s="2">
        <v>4</v>
      </c>
      <c r="H260" s="3">
        <v>50</v>
      </c>
      <c r="I260" s="3">
        <v>200</v>
      </c>
      <c r="J260" s="2" t="str">
        <f t="shared" si="4"/>
        <v>45–54</v>
      </c>
      <c r="K260" t="str" cm="1">
        <f t="array" ref="K260">_xlfn.IFS(
  OR(MONTH(B260)=12, MONTH(B260)=1, MONTH(B260)=2), "Winter",
  OR(MONTH(B260)=3, MONTH(B260)=4, MONTH(B260)=5), "Spring",
  OR(MONTH(B260)=6, MONTH(B260)=7, MONTH(B260)=8), "Summer",
  OR(MONTH(B260)=9, MONTH(B260)=10, MONTH(B260)=11), "Fall"
)</f>
        <v>Summer</v>
      </c>
    </row>
    <row r="261" spans="1:11">
      <c r="A261">
        <v>260</v>
      </c>
      <c r="B261" s="1">
        <v>45108</v>
      </c>
      <c r="C261" t="s">
        <v>273</v>
      </c>
      <c r="D261" t="s">
        <v>10</v>
      </c>
      <c r="E261" s="2">
        <v>28</v>
      </c>
      <c r="F261" t="s">
        <v>11</v>
      </c>
      <c r="G261" s="2">
        <v>2</v>
      </c>
      <c r="H261" s="3">
        <v>30</v>
      </c>
      <c r="I261" s="3">
        <v>60</v>
      </c>
      <c r="J261" s="2" t="str">
        <f t="shared" si="4"/>
        <v>25–34</v>
      </c>
      <c r="K261" t="str" cm="1">
        <f t="array" ref="K261">_xlfn.IFS(
  OR(MONTH(B261)=12, MONTH(B261)=1, MONTH(B261)=2), "Winter",
  OR(MONTH(B261)=3, MONTH(B261)=4, MONTH(B261)=5), "Spring",
  OR(MONTH(B261)=6, MONTH(B261)=7, MONTH(B261)=8), "Summer",
  OR(MONTH(B261)=9, MONTH(B261)=10, MONTH(B261)=11), "Fall"
)</f>
        <v>Summer</v>
      </c>
    </row>
    <row r="262" spans="1:11">
      <c r="A262">
        <v>261</v>
      </c>
      <c r="B262" s="1">
        <v>45143</v>
      </c>
      <c r="C262" t="s">
        <v>274</v>
      </c>
      <c r="D262" t="s">
        <v>10</v>
      </c>
      <c r="E262" s="2">
        <v>21</v>
      </c>
      <c r="F262" t="s">
        <v>14</v>
      </c>
      <c r="G262" s="2">
        <v>2</v>
      </c>
      <c r="H262" s="3">
        <v>25</v>
      </c>
      <c r="I262" s="3">
        <v>50</v>
      </c>
      <c r="J262" s="2" t="str">
        <f t="shared" si="4"/>
        <v>18–24</v>
      </c>
      <c r="K262" t="str" cm="1">
        <f t="array" ref="K262">_xlfn.IFS(
  OR(MONTH(B262)=12, MONTH(B262)=1, MONTH(B262)=2), "Winter",
  OR(MONTH(B262)=3, MONTH(B262)=4, MONTH(B262)=5), "Spring",
  OR(MONTH(B262)=6, MONTH(B262)=7, MONTH(B262)=8), "Summer",
  OR(MONTH(B262)=9, MONTH(B262)=10, MONTH(B262)=11), "Fall"
)</f>
        <v>Summer</v>
      </c>
    </row>
    <row r="263" spans="1:11">
      <c r="A263">
        <v>262</v>
      </c>
      <c r="B263" s="1">
        <v>45137</v>
      </c>
      <c r="C263" t="s">
        <v>275</v>
      </c>
      <c r="D263" t="s">
        <v>13</v>
      </c>
      <c r="E263" s="2">
        <v>32</v>
      </c>
      <c r="F263" t="s">
        <v>11</v>
      </c>
      <c r="G263" s="2">
        <v>4</v>
      </c>
      <c r="H263" s="3">
        <v>30</v>
      </c>
      <c r="I263" s="3">
        <v>120</v>
      </c>
      <c r="J263" s="2" t="str">
        <f t="shared" si="4"/>
        <v>25–34</v>
      </c>
      <c r="K263" t="str" cm="1">
        <f t="array" ref="K263">_xlfn.IFS(
  OR(MONTH(B263)=12, MONTH(B263)=1, MONTH(B263)=2), "Winter",
  OR(MONTH(B263)=3, MONTH(B263)=4, MONTH(B263)=5), "Spring",
  OR(MONTH(B263)=6, MONTH(B263)=7, MONTH(B263)=8), "Summer",
  OR(MONTH(B263)=9, MONTH(B263)=10, MONTH(B263)=11), "Fall"
)</f>
        <v>Summer</v>
      </c>
    </row>
    <row r="264" spans="1:11">
      <c r="A264">
        <v>263</v>
      </c>
      <c r="B264" s="1">
        <v>45166</v>
      </c>
      <c r="C264" t="s">
        <v>276</v>
      </c>
      <c r="D264" t="s">
        <v>10</v>
      </c>
      <c r="E264" s="2">
        <v>23</v>
      </c>
      <c r="F264" t="s">
        <v>11</v>
      </c>
      <c r="G264" s="2">
        <v>2</v>
      </c>
      <c r="H264" s="3">
        <v>30</v>
      </c>
      <c r="I264" s="3">
        <v>60</v>
      </c>
      <c r="J264" s="2" t="str">
        <f t="shared" si="4"/>
        <v>18–24</v>
      </c>
      <c r="K264" t="str" cm="1">
        <f t="array" ref="K264">_xlfn.IFS(
  OR(MONTH(B264)=12, MONTH(B264)=1, MONTH(B264)=2), "Winter",
  OR(MONTH(B264)=3, MONTH(B264)=4, MONTH(B264)=5), "Spring",
  OR(MONTH(B264)=6, MONTH(B264)=7, MONTH(B264)=8), "Summer",
  OR(MONTH(B264)=9, MONTH(B264)=10, MONTH(B264)=11), "Fall"
)</f>
        <v>Summer</v>
      </c>
    </row>
    <row r="265" spans="1:11">
      <c r="A265">
        <v>264</v>
      </c>
      <c r="B265" s="1">
        <v>44954</v>
      </c>
      <c r="C265" t="s">
        <v>277</v>
      </c>
      <c r="D265" t="s">
        <v>10</v>
      </c>
      <c r="E265" s="2">
        <v>47</v>
      </c>
      <c r="F265" t="s">
        <v>14</v>
      </c>
      <c r="G265" s="2">
        <v>3</v>
      </c>
      <c r="H265" s="3">
        <v>300</v>
      </c>
      <c r="I265" s="3">
        <v>900</v>
      </c>
      <c r="J265" s="2" t="str">
        <f t="shared" si="4"/>
        <v>45–54</v>
      </c>
      <c r="K265" t="str" cm="1">
        <f t="array" ref="K265">_xlfn.IFS(
  OR(MONTH(B265)=12, MONTH(B265)=1, MONTH(B265)=2), "Winter",
  OR(MONTH(B265)=3, MONTH(B265)=4, MONTH(B265)=5), "Spring",
  OR(MONTH(B265)=6, MONTH(B265)=7, MONTH(B265)=8), "Summer",
  OR(MONTH(B265)=9, MONTH(B265)=10, MONTH(B265)=11), "Fall"
)</f>
        <v>Winter</v>
      </c>
    </row>
    <row r="266" spans="1:11">
      <c r="A266">
        <v>265</v>
      </c>
      <c r="B266" s="1">
        <v>45271</v>
      </c>
      <c r="C266" t="s">
        <v>278</v>
      </c>
      <c r="D266" t="s">
        <v>10</v>
      </c>
      <c r="E266" s="2">
        <v>55</v>
      </c>
      <c r="F266" t="s">
        <v>14</v>
      </c>
      <c r="G266" s="2">
        <v>3</v>
      </c>
      <c r="H266" s="3">
        <v>300</v>
      </c>
      <c r="I266" s="3">
        <v>900</v>
      </c>
      <c r="J266" s="2" t="str">
        <f t="shared" si="4"/>
        <v>55–64</v>
      </c>
      <c r="K266" t="str" cm="1">
        <f t="array" ref="K266">_xlfn.IFS(
  OR(MONTH(B266)=12, MONTH(B266)=1, MONTH(B266)=2), "Winter",
  OR(MONTH(B266)=3, MONTH(B266)=4, MONTH(B266)=5), "Spring",
  OR(MONTH(B266)=6, MONTH(B266)=7, MONTH(B266)=8), "Summer",
  OR(MONTH(B266)=9, MONTH(B266)=10, MONTH(B266)=11), "Fall"
)</f>
        <v>Winter</v>
      </c>
    </row>
    <row r="267" spans="1:11">
      <c r="A267">
        <v>266</v>
      </c>
      <c r="B267" s="1">
        <v>45261</v>
      </c>
      <c r="C267" t="s">
        <v>279</v>
      </c>
      <c r="D267" t="s">
        <v>13</v>
      </c>
      <c r="E267" s="2">
        <v>19</v>
      </c>
      <c r="F267" t="s">
        <v>16</v>
      </c>
      <c r="G267" s="2">
        <v>2</v>
      </c>
      <c r="H267" s="3">
        <v>30</v>
      </c>
      <c r="I267" s="3">
        <v>60</v>
      </c>
      <c r="J267" s="2" t="str">
        <f t="shared" si="4"/>
        <v>18–24</v>
      </c>
      <c r="K267" t="str" cm="1">
        <f t="array" ref="K267">_xlfn.IFS(
  OR(MONTH(B267)=12, MONTH(B267)=1, MONTH(B267)=2), "Winter",
  OR(MONTH(B267)=3, MONTH(B267)=4, MONTH(B267)=5), "Spring",
  OR(MONTH(B267)=6, MONTH(B267)=7, MONTH(B267)=8), "Summer",
  OR(MONTH(B267)=9, MONTH(B267)=10, MONTH(B267)=11), "Fall"
)</f>
        <v>Winter</v>
      </c>
    </row>
    <row r="268" spans="1:11">
      <c r="A268">
        <v>267</v>
      </c>
      <c r="B268" s="1">
        <v>45257</v>
      </c>
      <c r="C268" t="s">
        <v>280</v>
      </c>
      <c r="D268" t="s">
        <v>13</v>
      </c>
      <c r="E268" s="2">
        <v>32</v>
      </c>
      <c r="F268" t="s">
        <v>11</v>
      </c>
      <c r="G268" s="2">
        <v>3</v>
      </c>
      <c r="H268" s="3">
        <v>30</v>
      </c>
      <c r="I268" s="3">
        <v>90</v>
      </c>
      <c r="J268" s="2" t="str">
        <f t="shared" si="4"/>
        <v>25–34</v>
      </c>
      <c r="K268" t="str" cm="1">
        <f t="array" ref="K268">_xlfn.IFS(
  OR(MONTH(B268)=12, MONTH(B268)=1, MONTH(B268)=2), "Winter",
  OR(MONTH(B268)=3, MONTH(B268)=4, MONTH(B268)=5), "Spring",
  OR(MONTH(B268)=6, MONTH(B268)=7, MONTH(B268)=8), "Summer",
  OR(MONTH(B268)=9, MONTH(B268)=10, MONTH(B268)=11), "Fall"
)</f>
        <v>Fall</v>
      </c>
    </row>
    <row r="269" spans="1:11">
      <c r="A269">
        <v>268</v>
      </c>
      <c r="B269" s="1">
        <v>44977</v>
      </c>
      <c r="C269" t="s">
        <v>281</v>
      </c>
      <c r="D269" t="s">
        <v>13</v>
      </c>
      <c r="E269" s="2">
        <v>28</v>
      </c>
      <c r="F269" t="s">
        <v>16</v>
      </c>
      <c r="G269" s="2">
        <v>1</v>
      </c>
      <c r="H269" s="3">
        <v>30</v>
      </c>
      <c r="I269" s="3">
        <v>30</v>
      </c>
      <c r="J269" s="2" t="str">
        <f t="shared" si="4"/>
        <v>25–34</v>
      </c>
      <c r="K269" t="str" cm="1">
        <f t="array" ref="K269">_xlfn.IFS(
  OR(MONTH(B269)=12, MONTH(B269)=1, MONTH(B269)=2), "Winter",
  OR(MONTH(B269)=3, MONTH(B269)=4, MONTH(B269)=5), "Spring",
  OR(MONTH(B269)=6, MONTH(B269)=7, MONTH(B269)=8), "Summer",
  OR(MONTH(B269)=9, MONTH(B269)=10, MONTH(B269)=11), "Fall"
)</f>
        <v>Winter</v>
      </c>
    </row>
    <row r="270" spans="1:11">
      <c r="A270">
        <v>269</v>
      </c>
      <c r="B270" s="1">
        <v>44958</v>
      </c>
      <c r="C270" t="s">
        <v>282</v>
      </c>
      <c r="D270" t="s">
        <v>10</v>
      </c>
      <c r="E270" s="2">
        <v>25</v>
      </c>
      <c r="F270" t="s">
        <v>14</v>
      </c>
      <c r="G270" s="2">
        <v>4</v>
      </c>
      <c r="H270" s="3">
        <v>500</v>
      </c>
      <c r="I270" s="3">
        <v>2000</v>
      </c>
      <c r="J270" s="2" t="str">
        <f t="shared" si="4"/>
        <v>25–34</v>
      </c>
      <c r="K270" t="str" cm="1">
        <f t="array" ref="K270">_xlfn.IFS(
  OR(MONTH(B270)=12, MONTH(B270)=1, MONTH(B270)=2), "Winter",
  OR(MONTH(B270)=3, MONTH(B270)=4, MONTH(B270)=5), "Spring",
  OR(MONTH(B270)=6, MONTH(B270)=7, MONTH(B270)=8), "Summer",
  OR(MONTH(B270)=9, MONTH(B270)=10, MONTH(B270)=11), "Fall"
)</f>
        <v>Winter</v>
      </c>
    </row>
    <row r="271" spans="1:11">
      <c r="A271">
        <v>270</v>
      </c>
      <c r="B271" s="1">
        <v>45133</v>
      </c>
      <c r="C271" t="s">
        <v>283</v>
      </c>
      <c r="D271" t="s">
        <v>10</v>
      </c>
      <c r="E271" s="2">
        <v>43</v>
      </c>
      <c r="F271" t="s">
        <v>16</v>
      </c>
      <c r="G271" s="2">
        <v>1</v>
      </c>
      <c r="H271" s="3">
        <v>300</v>
      </c>
      <c r="I271" s="3">
        <v>300</v>
      </c>
      <c r="J271" s="2" t="str">
        <f t="shared" si="4"/>
        <v>35–44</v>
      </c>
      <c r="K271" t="str" cm="1">
        <f t="array" ref="K271">_xlfn.IFS(
  OR(MONTH(B271)=12, MONTH(B271)=1, MONTH(B271)=2), "Winter",
  OR(MONTH(B271)=3, MONTH(B271)=4, MONTH(B271)=5), "Spring",
  OR(MONTH(B271)=6, MONTH(B271)=7, MONTH(B271)=8), "Summer",
  OR(MONTH(B271)=9, MONTH(B271)=10, MONTH(B271)=11), "Fall"
)</f>
        <v>Summer</v>
      </c>
    </row>
    <row r="272" spans="1:11">
      <c r="A272">
        <v>271</v>
      </c>
      <c r="B272" s="1">
        <v>45100</v>
      </c>
      <c r="C272" t="s">
        <v>284</v>
      </c>
      <c r="D272" t="s">
        <v>13</v>
      </c>
      <c r="E272" s="2">
        <v>62</v>
      </c>
      <c r="F272" t="s">
        <v>11</v>
      </c>
      <c r="G272" s="2">
        <v>4</v>
      </c>
      <c r="H272" s="3">
        <v>30</v>
      </c>
      <c r="I272" s="3">
        <v>120</v>
      </c>
      <c r="J272" s="2" t="str">
        <f t="shared" si="4"/>
        <v>55–64</v>
      </c>
      <c r="K272" t="str" cm="1">
        <f t="array" ref="K272">_xlfn.IFS(
  OR(MONTH(B272)=12, MONTH(B272)=1, MONTH(B272)=2), "Winter",
  OR(MONTH(B272)=3, MONTH(B272)=4, MONTH(B272)=5), "Spring",
  OR(MONTH(B272)=6, MONTH(B272)=7, MONTH(B272)=8), "Summer",
  OR(MONTH(B272)=9, MONTH(B272)=10, MONTH(B272)=11), "Fall"
)</f>
        <v>Summer</v>
      </c>
    </row>
    <row r="273" spans="1:11">
      <c r="A273">
        <v>272</v>
      </c>
      <c r="B273" s="1">
        <v>44982</v>
      </c>
      <c r="C273" t="s">
        <v>285</v>
      </c>
      <c r="D273" t="s">
        <v>13</v>
      </c>
      <c r="E273" s="2">
        <v>61</v>
      </c>
      <c r="F273" t="s">
        <v>16</v>
      </c>
      <c r="G273" s="2">
        <v>2</v>
      </c>
      <c r="H273" s="3">
        <v>50</v>
      </c>
      <c r="I273" s="3">
        <v>100</v>
      </c>
      <c r="J273" s="2" t="str">
        <f t="shared" si="4"/>
        <v>55–64</v>
      </c>
      <c r="K273" t="str" cm="1">
        <f t="array" ref="K273">_xlfn.IFS(
  OR(MONTH(B273)=12, MONTH(B273)=1, MONTH(B273)=2), "Winter",
  OR(MONTH(B273)=3, MONTH(B273)=4, MONTH(B273)=5), "Spring",
  OR(MONTH(B273)=6, MONTH(B273)=7, MONTH(B273)=8), "Summer",
  OR(MONTH(B273)=9, MONTH(B273)=10, MONTH(B273)=11), "Fall"
)</f>
        <v>Winter</v>
      </c>
    </row>
    <row r="274" spans="1:11">
      <c r="A274">
        <v>273</v>
      </c>
      <c r="B274" s="1">
        <v>45054</v>
      </c>
      <c r="C274" t="s">
        <v>286</v>
      </c>
      <c r="D274" t="s">
        <v>13</v>
      </c>
      <c r="E274" s="2">
        <v>22</v>
      </c>
      <c r="F274" t="s">
        <v>11</v>
      </c>
      <c r="G274" s="2">
        <v>1</v>
      </c>
      <c r="H274" s="3">
        <v>50</v>
      </c>
      <c r="I274" s="3">
        <v>50</v>
      </c>
      <c r="J274" s="2" t="str">
        <f t="shared" si="4"/>
        <v>18–24</v>
      </c>
      <c r="K274" t="str" cm="1">
        <f t="array" ref="K274">_xlfn.IFS(
  OR(MONTH(B274)=12, MONTH(B274)=1, MONTH(B274)=2), "Winter",
  OR(MONTH(B274)=3, MONTH(B274)=4, MONTH(B274)=5), "Spring",
  OR(MONTH(B274)=6, MONTH(B274)=7, MONTH(B274)=8), "Summer",
  OR(MONTH(B274)=9, MONTH(B274)=10, MONTH(B274)=11), "Fall"
)</f>
        <v>Spring</v>
      </c>
    </row>
    <row r="275" spans="1:11">
      <c r="A275">
        <v>274</v>
      </c>
      <c r="B275" s="1">
        <v>45025</v>
      </c>
      <c r="C275" t="s">
        <v>287</v>
      </c>
      <c r="D275" t="s">
        <v>13</v>
      </c>
      <c r="E275" s="2">
        <v>23</v>
      </c>
      <c r="F275" t="s">
        <v>14</v>
      </c>
      <c r="G275" s="2">
        <v>2</v>
      </c>
      <c r="H275" s="3">
        <v>500</v>
      </c>
      <c r="I275" s="3">
        <v>1000</v>
      </c>
      <c r="J275" s="2" t="str">
        <f t="shared" si="4"/>
        <v>18–24</v>
      </c>
      <c r="K275" t="str" cm="1">
        <f t="array" ref="K275">_xlfn.IFS(
  OR(MONTH(B275)=12, MONTH(B275)=1, MONTH(B275)=2), "Winter",
  OR(MONTH(B275)=3, MONTH(B275)=4, MONTH(B275)=5), "Spring",
  OR(MONTH(B275)=6, MONTH(B275)=7, MONTH(B275)=8), "Summer",
  OR(MONTH(B275)=9, MONTH(B275)=10, MONTH(B275)=11), "Fall"
)</f>
        <v>Spring</v>
      </c>
    </row>
    <row r="276" spans="1:11">
      <c r="A276">
        <v>275</v>
      </c>
      <c r="B276" s="1">
        <v>45024</v>
      </c>
      <c r="C276" t="s">
        <v>288</v>
      </c>
      <c r="D276" t="s">
        <v>10</v>
      </c>
      <c r="E276" s="2">
        <v>43</v>
      </c>
      <c r="F276" t="s">
        <v>14</v>
      </c>
      <c r="G276" s="2">
        <v>2</v>
      </c>
      <c r="H276" s="3">
        <v>500</v>
      </c>
      <c r="I276" s="3">
        <v>1000</v>
      </c>
      <c r="J276" s="2" t="str">
        <f t="shared" si="4"/>
        <v>35–44</v>
      </c>
      <c r="K276" t="str" cm="1">
        <f t="array" ref="K276">_xlfn.IFS(
  OR(MONTH(B276)=12, MONTH(B276)=1, MONTH(B276)=2), "Winter",
  OR(MONTH(B276)=3, MONTH(B276)=4, MONTH(B276)=5), "Spring",
  OR(MONTH(B276)=6, MONTH(B276)=7, MONTH(B276)=8), "Summer",
  OR(MONTH(B276)=9, MONTH(B276)=10, MONTH(B276)=11), "Fall"
)</f>
        <v>Spring</v>
      </c>
    </row>
    <row r="277" spans="1:11">
      <c r="A277">
        <v>276</v>
      </c>
      <c r="B277" s="1">
        <v>45201</v>
      </c>
      <c r="C277" t="s">
        <v>289</v>
      </c>
      <c r="D277" t="s">
        <v>13</v>
      </c>
      <c r="E277" s="2">
        <v>21</v>
      </c>
      <c r="F277" t="s">
        <v>11</v>
      </c>
      <c r="G277" s="2">
        <v>4</v>
      </c>
      <c r="H277" s="3">
        <v>25</v>
      </c>
      <c r="I277" s="3">
        <v>100</v>
      </c>
      <c r="J277" s="2" t="str">
        <f t="shared" si="4"/>
        <v>18–24</v>
      </c>
      <c r="K277" t="str" cm="1">
        <f t="array" ref="K277">_xlfn.IFS(
  OR(MONTH(B277)=12, MONTH(B277)=1, MONTH(B277)=2), "Winter",
  OR(MONTH(B277)=3, MONTH(B277)=4, MONTH(B277)=5), "Spring",
  OR(MONTH(B277)=6, MONTH(B277)=7, MONTH(B277)=8), "Summer",
  OR(MONTH(B277)=9, MONTH(B277)=10, MONTH(B277)=11), "Fall"
)</f>
        <v>Fall</v>
      </c>
    </row>
    <row r="278" spans="1:11">
      <c r="A278">
        <v>277</v>
      </c>
      <c r="B278" s="1">
        <v>45156</v>
      </c>
      <c r="C278" t="s">
        <v>290</v>
      </c>
      <c r="D278" t="s">
        <v>10</v>
      </c>
      <c r="E278" s="2">
        <v>36</v>
      </c>
      <c r="F278" t="s">
        <v>14</v>
      </c>
      <c r="G278" s="2">
        <v>4</v>
      </c>
      <c r="H278" s="3">
        <v>25</v>
      </c>
      <c r="I278" s="3">
        <v>100</v>
      </c>
      <c r="J278" s="2" t="str">
        <f t="shared" si="4"/>
        <v>35–44</v>
      </c>
      <c r="K278" t="str" cm="1">
        <f t="array" ref="K278">_xlfn.IFS(
  OR(MONTH(B278)=12, MONTH(B278)=1, MONTH(B278)=2), "Winter",
  OR(MONTH(B278)=3, MONTH(B278)=4, MONTH(B278)=5), "Spring",
  OR(MONTH(B278)=6, MONTH(B278)=7, MONTH(B278)=8), "Summer",
  OR(MONTH(B278)=9, MONTH(B278)=10, MONTH(B278)=11), "Fall"
)</f>
        <v>Summer</v>
      </c>
    </row>
    <row r="279" spans="1:11">
      <c r="A279">
        <v>278</v>
      </c>
      <c r="B279" s="1">
        <v>44998</v>
      </c>
      <c r="C279" t="s">
        <v>291</v>
      </c>
      <c r="D279" t="s">
        <v>13</v>
      </c>
      <c r="E279" s="2">
        <v>37</v>
      </c>
      <c r="F279" t="s">
        <v>14</v>
      </c>
      <c r="G279" s="2">
        <v>4</v>
      </c>
      <c r="H279" s="3">
        <v>25</v>
      </c>
      <c r="I279" s="3">
        <v>100</v>
      </c>
      <c r="J279" s="2" t="str">
        <f t="shared" si="4"/>
        <v>35–44</v>
      </c>
      <c r="K279" t="str" cm="1">
        <f t="array" ref="K279">_xlfn.IFS(
  OR(MONTH(B279)=12, MONTH(B279)=1, MONTH(B279)=2), "Winter",
  OR(MONTH(B279)=3, MONTH(B279)=4, MONTH(B279)=5), "Spring",
  OR(MONTH(B279)=6, MONTH(B279)=7, MONTH(B279)=8), "Summer",
  OR(MONTH(B279)=9, MONTH(B279)=10, MONTH(B279)=11), "Fall"
)</f>
        <v>Spring</v>
      </c>
    </row>
    <row r="280" spans="1:11">
      <c r="A280">
        <v>279</v>
      </c>
      <c r="B280" s="1">
        <v>45143</v>
      </c>
      <c r="C280" t="s">
        <v>292</v>
      </c>
      <c r="D280" t="s">
        <v>10</v>
      </c>
      <c r="E280" s="2">
        <v>50</v>
      </c>
      <c r="F280" t="s">
        <v>14</v>
      </c>
      <c r="G280" s="2">
        <v>1</v>
      </c>
      <c r="H280" s="3">
        <v>500</v>
      </c>
      <c r="I280" s="3">
        <v>500</v>
      </c>
      <c r="J280" s="2" t="str">
        <f t="shared" si="4"/>
        <v>45–54</v>
      </c>
      <c r="K280" t="str" cm="1">
        <f t="array" ref="K280">_xlfn.IFS(
  OR(MONTH(B280)=12, MONTH(B280)=1, MONTH(B280)=2), "Winter",
  OR(MONTH(B280)=3, MONTH(B280)=4, MONTH(B280)=5), "Spring",
  OR(MONTH(B280)=6, MONTH(B280)=7, MONTH(B280)=8), "Summer",
  OR(MONTH(B280)=9, MONTH(B280)=10, MONTH(B280)=11), "Fall"
)</f>
        <v>Summer</v>
      </c>
    </row>
    <row r="281" spans="1:11">
      <c r="A281">
        <v>280</v>
      </c>
      <c r="B281" s="1">
        <v>45020</v>
      </c>
      <c r="C281" t="s">
        <v>293</v>
      </c>
      <c r="D281" t="s">
        <v>13</v>
      </c>
      <c r="E281" s="2">
        <v>37</v>
      </c>
      <c r="F281" t="s">
        <v>14</v>
      </c>
      <c r="G281" s="2">
        <v>3</v>
      </c>
      <c r="H281" s="3">
        <v>500</v>
      </c>
      <c r="I281" s="3">
        <v>1500</v>
      </c>
      <c r="J281" s="2" t="str">
        <f t="shared" si="4"/>
        <v>35–44</v>
      </c>
      <c r="K281" t="str" cm="1">
        <f t="array" ref="K281">_xlfn.IFS(
  OR(MONTH(B281)=12, MONTH(B281)=1, MONTH(B281)=2), "Winter",
  OR(MONTH(B281)=3, MONTH(B281)=4, MONTH(B281)=5), "Spring",
  OR(MONTH(B281)=6, MONTH(B281)=7, MONTH(B281)=8), "Summer",
  OR(MONTH(B281)=9, MONTH(B281)=10, MONTH(B281)=11), "Fall"
)</f>
        <v>Spring</v>
      </c>
    </row>
    <row r="282" spans="1:11">
      <c r="A282">
        <v>281</v>
      </c>
      <c r="B282" s="1">
        <v>45069</v>
      </c>
      <c r="C282" t="s">
        <v>294</v>
      </c>
      <c r="D282" t="s">
        <v>13</v>
      </c>
      <c r="E282" s="2">
        <v>29</v>
      </c>
      <c r="F282" t="s">
        <v>11</v>
      </c>
      <c r="G282" s="2">
        <v>4</v>
      </c>
      <c r="H282" s="3">
        <v>500</v>
      </c>
      <c r="I282" s="3">
        <v>2000</v>
      </c>
      <c r="J282" s="2" t="str">
        <f t="shared" si="4"/>
        <v>25–34</v>
      </c>
      <c r="K282" t="str" cm="1">
        <f t="array" ref="K282">_xlfn.IFS(
  OR(MONTH(B282)=12, MONTH(B282)=1, MONTH(B282)=2), "Winter",
  OR(MONTH(B282)=3, MONTH(B282)=4, MONTH(B282)=5), "Spring",
  OR(MONTH(B282)=6, MONTH(B282)=7, MONTH(B282)=8), "Summer",
  OR(MONTH(B282)=9, MONTH(B282)=10, MONTH(B282)=11), "Fall"
)</f>
        <v>Spring</v>
      </c>
    </row>
    <row r="283" spans="1:11">
      <c r="A283">
        <v>282</v>
      </c>
      <c r="B283" s="1">
        <v>45163</v>
      </c>
      <c r="C283" t="s">
        <v>295</v>
      </c>
      <c r="D283" t="s">
        <v>13</v>
      </c>
      <c r="E283" s="2">
        <v>64</v>
      </c>
      <c r="F283" t="s">
        <v>16</v>
      </c>
      <c r="G283" s="2">
        <v>4</v>
      </c>
      <c r="H283" s="3">
        <v>50</v>
      </c>
      <c r="I283" s="3">
        <v>200</v>
      </c>
      <c r="J283" s="2" t="str">
        <f t="shared" si="4"/>
        <v>55–64</v>
      </c>
      <c r="K283" t="str" cm="1">
        <f t="array" ref="K283">_xlfn.IFS(
  OR(MONTH(B283)=12, MONTH(B283)=1, MONTH(B283)=2), "Winter",
  OR(MONTH(B283)=3, MONTH(B283)=4, MONTH(B283)=5), "Spring",
  OR(MONTH(B283)=6, MONTH(B283)=7, MONTH(B283)=8), "Summer",
  OR(MONTH(B283)=9, MONTH(B283)=10, MONTH(B283)=11), "Fall"
)</f>
        <v>Summer</v>
      </c>
    </row>
    <row r="284" spans="1:11">
      <c r="A284">
        <v>283</v>
      </c>
      <c r="B284" s="1">
        <v>45054</v>
      </c>
      <c r="C284" t="s">
        <v>296</v>
      </c>
      <c r="D284" t="s">
        <v>13</v>
      </c>
      <c r="E284" s="2">
        <v>18</v>
      </c>
      <c r="F284" t="s">
        <v>16</v>
      </c>
      <c r="G284" s="2">
        <v>1</v>
      </c>
      <c r="H284" s="3">
        <v>500</v>
      </c>
      <c r="I284" s="3">
        <v>500</v>
      </c>
      <c r="J284" s="2" t="str">
        <f t="shared" si="4"/>
        <v>18–24</v>
      </c>
      <c r="K284" t="str" cm="1">
        <f t="array" ref="K284">_xlfn.IFS(
  OR(MONTH(B284)=12, MONTH(B284)=1, MONTH(B284)=2), "Winter",
  OR(MONTH(B284)=3, MONTH(B284)=4, MONTH(B284)=5), "Spring",
  OR(MONTH(B284)=6, MONTH(B284)=7, MONTH(B284)=8), "Summer",
  OR(MONTH(B284)=9, MONTH(B284)=10, MONTH(B284)=11), "Fall"
)</f>
        <v>Spring</v>
      </c>
    </row>
    <row r="285" spans="1:11">
      <c r="A285">
        <v>284</v>
      </c>
      <c r="B285" s="1">
        <v>44965</v>
      </c>
      <c r="C285" t="s">
        <v>297</v>
      </c>
      <c r="D285" t="s">
        <v>10</v>
      </c>
      <c r="E285" s="2">
        <v>43</v>
      </c>
      <c r="F285" t="s">
        <v>14</v>
      </c>
      <c r="G285" s="2">
        <v>4</v>
      </c>
      <c r="H285" s="3">
        <v>50</v>
      </c>
      <c r="I285" s="3">
        <v>200</v>
      </c>
      <c r="J285" s="2" t="str">
        <f t="shared" si="4"/>
        <v>35–44</v>
      </c>
      <c r="K285" t="str" cm="1">
        <f t="array" ref="K285">_xlfn.IFS(
  OR(MONTH(B285)=12, MONTH(B285)=1, MONTH(B285)=2), "Winter",
  OR(MONTH(B285)=3, MONTH(B285)=4, MONTH(B285)=5), "Spring",
  OR(MONTH(B285)=6, MONTH(B285)=7, MONTH(B285)=8), "Summer",
  OR(MONTH(B285)=9, MONTH(B285)=10, MONTH(B285)=11), "Fall"
)</f>
        <v>Winter</v>
      </c>
    </row>
    <row r="286" spans="1:11">
      <c r="A286">
        <v>285</v>
      </c>
      <c r="B286" s="1">
        <v>45153</v>
      </c>
      <c r="C286" t="s">
        <v>298</v>
      </c>
      <c r="D286" t="s">
        <v>13</v>
      </c>
      <c r="E286" s="2">
        <v>31</v>
      </c>
      <c r="F286" t="s">
        <v>16</v>
      </c>
      <c r="G286" s="2">
        <v>1</v>
      </c>
      <c r="H286" s="3">
        <v>25</v>
      </c>
      <c r="I286" s="3">
        <v>25</v>
      </c>
      <c r="J286" s="2" t="str">
        <f t="shared" si="4"/>
        <v>25–34</v>
      </c>
      <c r="K286" t="str" cm="1">
        <f t="array" ref="K286">_xlfn.IFS(
  OR(MONTH(B286)=12, MONTH(B286)=1, MONTH(B286)=2), "Winter",
  OR(MONTH(B286)=3, MONTH(B286)=4, MONTH(B286)=5), "Spring",
  OR(MONTH(B286)=6, MONTH(B286)=7, MONTH(B286)=8), "Summer",
  OR(MONTH(B286)=9, MONTH(B286)=10, MONTH(B286)=11), "Fall"
)</f>
        <v>Summer</v>
      </c>
    </row>
    <row r="287" spans="1:11">
      <c r="A287">
        <v>286</v>
      </c>
      <c r="B287" s="1">
        <v>45208</v>
      </c>
      <c r="C287" t="s">
        <v>299</v>
      </c>
      <c r="D287" t="s">
        <v>10</v>
      </c>
      <c r="E287" s="2">
        <v>55</v>
      </c>
      <c r="F287" t="s">
        <v>16</v>
      </c>
      <c r="G287" s="2">
        <v>2</v>
      </c>
      <c r="H287" s="3">
        <v>25</v>
      </c>
      <c r="I287" s="3">
        <v>50</v>
      </c>
      <c r="J287" s="2" t="str">
        <f t="shared" si="4"/>
        <v>55–64</v>
      </c>
      <c r="K287" t="str" cm="1">
        <f t="array" ref="K287">_xlfn.IFS(
  OR(MONTH(B287)=12, MONTH(B287)=1, MONTH(B287)=2), "Winter",
  OR(MONTH(B287)=3, MONTH(B287)=4, MONTH(B287)=5), "Spring",
  OR(MONTH(B287)=6, MONTH(B287)=7, MONTH(B287)=8), "Summer",
  OR(MONTH(B287)=9, MONTH(B287)=10, MONTH(B287)=11), "Fall"
)</f>
        <v>Fall</v>
      </c>
    </row>
    <row r="288" spans="1:11">
      <c r="A288">
        <v>287</v>
      </c>
      <c r="B288" s="1">
        <v>44977</v>
      </c>
      <c r="C288" t="s">
        <v>300</v>
      </c>
      <c r="D288" t="s">
        <v>10</v>
      </c>
      <c r="E288" s="2">
        <v>54</v>
      </c>
      <c r="F288" t="s">
        <v>14</v>
      </c>
      <c r="G288" s="2">
        <v>4</v>
      </c>
      <c r="H288" s="3">
        <v>25</v>
      </c>
      <c r="I288" s="3">
        <v>100</v>
      </c>
      <c r="J288" s="2" t="str">
        <f t="shared" si="4"/>
        <v>45–54</v>
      </c>
      <c r="K288" t="str" cm="1">
        <f t="array" ref="K288">_xlfn.IFS(
  OR(MONTH(B288)=12, MONTH(B288)=1, MONTH(B288)=2), "Winter",
  OR(MONTH(B288)=3, MONTH(B288)=4, MONTH(B288)=5), "Spring",
  OR(MONTH(B288)=6, MONTH(B288)=7, MONTH(B288)=8), "Summer",
  OR(MONTH(B288)=9, MONTH(B288)=10, MONTH(B288)=11), "Fall"
)</f>
        <v>Winter</v>
      </c>
    </row>
    <row r="289" spans="1:11">
      <c r="A289">
        <v>288</v>
      </c>
      <c r="B289" s="1">
        <v>44952</v>
      </c>
      <c r="C289" t="s">
        <v>301</v>
      </c>
      <c r="D289" t="s">
        <v>10</v>
      </c>
      <c r="E289" s="2">
        <v>28</v>
      </c>
      <c r="F289" t="s">
        <v>14</v>
      </c>
      <c r="G289" s="2">
        <v>4</v>
      </c>
      <c r="H289" s="3">
        <v>30</v>
      </c>
      <c r="I289" s="3">
        <v>120</v>
      </c>
      <c r="J289" s="2" t="str">
        <f t="shared" si="4"/>
        <v>25–34</v>
      </c>
      <c r="K289" t="str" cm="1">
        <f t="array" ref="K289">_xlfn.IFS(
  OR(MONTH(B289)=12, MONTH(B289)=1, MONTH(B289)=2), "Winter",
  OR(MONTH(B289)=3, MONTH(B289)=4, MONTH(B289)=5), "Spring",
  OR(MONTH(B289)=6, MONTH(B289)=7, MONTH(B289)=8), "Summer",
  OR(MONTH(B289)=9, MONTH(B289)=10, MONTH(B289)=11), "Fall"
)</f>
        <v>Winter</v>
      </c>
    </row>
    <row r="290" spans="1:11">
      <c r="A290">
        <v>289</v>
      </c>
      <c r="B290" s="1">
        <v>45260</v>
      </c>
      <c r="C290" t="s">
        <v>302</v>
      </c>
      <c r="D290" t="s">
        <v>10</v>
      </c>
      <c r="E290" s="2">
        <v>53</v>
      </c>
      <c r="F290" t="s">
        <v>16</v>
      </c>
      <c r="G290" s="2">
        <v>2</v>
      </c>
      <c r="H290" s="3">
        <v>30</v>
      </c>
      <c r="I290" s="3">
        <v>60</v>
      </c>
      <c r="J290" s="2" t="str">
        <f t="shared" si="4"/>
        <v>45–54</v>
      </c>
      <c r="K290" t="str" cm="1">
        <f t="array" ref="K290">_xlfn.IFS(
  OR(MONTH(B290)=12, MONTH(B290)=1, MONTH(B290)=2), "Winter",
  OR(MONTH(B290)=3, MONTH(B290)=4, MONTH(B290)=5), "Spring",
  OR(MONTH(B290)=6, MONTH(B290)=7, MONTH(B290)=8), "Summer",
  OR(MONTH(B290)=9, MONTH(B290)=10, MONTH(B290)=11), "Fall"
)</f>
        <v>Fall</v>
      </c>
    </row>
    <row r="291" spans="1:11">
      <c r="A291">
        <v>290</v>
      </c>
      <c r="B291" s="1">
        <v>45203</v>
      </c>
      <c r="C291" t="s">
        <v>303</v>
      </c>
      <c r="D291" t="s">
        <v>13</v>
      </c>
      <c r="E291" s="2">
        <v>30</v>
      </c>
      <c r="F291" t="s">
        <v>11</v>
      </c>
      <c r="G291" s="2">
        <v>2</v>
      </c>
      <c r="H291" s="3">
        <v>300</v>
      </c>
      <c r="I291" s="3">
        <v>600</v>
      </c>
      <c r="J291" s="2" t="str">
        <f t="shared" si="4"/>
        <v>25–34</v>
      </c>
      <c r="K291" t="str" cm="1">
        <f t="array" ref="K291">_xlfn.IFS(
  OR(MONTH(B291)=12, MONTH(B291)=1, MONTH(B291)=2), "Winter",
  OR(MONTH(B291)=3, MONTH(B291)=4, MONTH(B291)=5), "Spring",
  OR(MONTH(B291)=6, MONTH(B291)=7, MONTH(B291)=8), "Summer",
  OR(MONTH(B291)=9, MONTH(B291)=10, MONTH(B291)=11), "Fall"
)</f>
        <v>Fall</v>
      </c>
    </row>
    <row r="292" spans="1:11">
      <c r="A292">
        <v>291</v>
      </c>
      <c r="B292" s="1">
        <v>44934</v>
      </c>
      <c r="C292" t="s">
        <v>304</v>
      </c>
      <c r="D292" t="s">
        <v>10</v>
      </c>
      <c r="E292" s="2">
        <v>60</v>
      </c>
      <c r="F292" t="s">
        <v>14</v>
      </c>
      <c r="G292" s="2">
        <v>2</v>
      </c>
      <c r="H292" s="3">
        <v>300</v>
      </c>
      <c r="I292" s="3">
        <v>600</v>
      </c>
      <c r="J292" s="2" t="str">
        <f t="shared" si="4"/>
        <v>55–64</v>
      </c>
      <c r="K292" t="str" cm="1">
        <f t="array" ref="K292">_xlfn.IFS(
  OR(MONTH(B292)=12, MONTH(B292)=1, MONTH(B292)=2), "Winter",
  OR(MONTH(B292)=3, MONTH(B292)=4, MONTH(B292)=5), "Spring",
  OR(MONTH(B292)=6, MONTH(B292)=7, MONTH(B292)=8), "Summer",
  OR(MONTH(B292)=9, MONTH(B292)=10, MONTH(B292)=11), "Fall"
)</f>
        <v>Winter</v>
      </c>
    </row>
    <row r="293" spans="1:11">
      <c r="A293">
        <v>292</v>
      </c>
      <c r="B293" s="1">
        <v>44974</v>
      </c>
      <c r="C293" t="s">
        <v>305</v>
      </c>
      <c r="D293" t="s">
        <v>10</v>
      </c>
      <c r="E293" s="2">
        <v>20</v>
      </c>
      <c r="F293" t="s">
        <v>11</v>
      </c>
      <c r="G293" s="2">
        <v>4</v>
      </c>
      <c r="H293" s="3">
        <v>300</v>
      </c>
      <c r="I293" s="3">
        <v>1200</v>
      </c>
      <c r="J293" s="2" t="str">
        <f t="shared" si="4"/>
        <v>18–24</v>
      </c>
      <c r="K293" t="str" cm="1">
        <f t="array" ref="K293">_xlfn.IFS(
  OR(MONTH(B293)=12, MONTH(B293)=1, MONTH(B293)=2), "Winter",
  OR(MONTH(B293)=3, MONTH(B293)=4, MONTH(B293)=5), "Spring",
  OR(MONTH(B293)=6, MONTH(B293)=7, MONTH(B293)=8), "Summer",
  OR(MONTH(B293)=9, MONTH(B293)=10, MONTH(B293)=11), "Fall"
)</f>
        <v>Winter</v>
      </c>
    </row>
    <row r="294" spans="1:11">
      <c r="A294">
        <v>293</v>
      </c>
      <c r="B294" s="1">
        <v>45048</v>
      </c>
      <c r="C294" t="s">
        <v>306</v>
      </c>
      <c r="D294" t="s">
        <v>10</v>
      </c>
      <c r="E294" s="2">
        <v>50</v>
      </c>
      <c r="F294" t="s">
        <v>16</v>
      </c>
      <c r="G294" s="2">
        <v>3</v>
      </c>
      <c r="H294" s="3">
        <v>30</v>
      </c>
      <c r="I294" s="3">
        <v>90</v>
      </c>
      <c r="J294" s="2" t="str">
        <f t="shared" si="4"/>
        <v>45–54</v>
      </c>
      <c r="K294" t="str" cm="1">
        <f t="array" ref="K294">_xlfn.IFS(
  OR(MONTH(B294)=12, MONTH(B294)=1, MONTH(B294)=2), "Winter",
  OR(MONTH(B294)=3, MONTH(B294)=4, MONTH(B294)=5), "Spring",
  OR(MONTH(B294)=6, MONTH(B294)=7, MONTH(B294)=8), "Summer",
  OR(MONTH(B294)=9, MONTH(B294)=10, MONTH(B294)=11), "Fall"
)</f>
        <v>Spring</v>
      </c>
    </row>
    <row r="295" spans="1:11">
      <c r="A295">
        <v>294</v>
      </c>
      <c r="B295" s="1">
        <v>45012</v>
      </c>
      <c r="C295" t="s">
        <v>307</v>
      </c>
      <c r="D295" t="s">
        <v>13</v>
      </c>
      <c r="E295" s="2">
        <v>23</v>
      </c>
      <c r="F295" t="s">
        <v>14</v>
      </c>
      <c r="G295" s="2">
        <v>3</v>
      </c>
      <c r="H295" s="3">
        <v>30</v>
      </c>
      <c r="I295" s="3">
        <v>90</v>
      </c>
      <c r="J295" s="2" t="str">
        <f t="shared" si="4"/>
        <v>18–24</v>
      </c>
      <c r="K295" t="str" cm="1">
        <f t="array" ref="K295">_xlfn.IFS(
  OR(MONTH(B295)=12, MONTH(B295)=1, MONTH(B295)=2), "Winter",
  OR(MONTH(B295)=3, MONTH(B295)=4, MONTH(B295)=5), "Spring",
  OR(MONTH(B295)=6, MONTH(B295)=7, MONTH(B295)=8), "Summer",
  OR(MONTH(B295)=9, MONTH(B295)=10, MONTH(B295)=11), "Fall"
)</f>
        <v>Spring</v>
      </c>
    </row>
    <row r="296" spans="1:11">
      <c r="A296">
        <v>295</v>
      </c>
      <c r="B296" s="1">
        <v>45135</v>
      </c>
      <c r="C296" t="s">
        <v>308</v>
      </c>
      <c r="D296" t="s">
        <v>13</v>
      </c>
      <c r="E296" s="2">
        <v>27</v>
      </c>
      <c r="F296" t="s">
        <v>11</v>
      </c>
      <c r="G296" s="2">
        <v>3</v>
      </c>
      <c r="H296" s="3">
        <v>300</v>
      </c>
      <c r="I296" s="3">
        <v>900</v>
      </c>
      <c r="J296" s="2" t="str">
        <f t="shared" si="4"/>
        <v>25–34</v>
      </c>
      <c r="K296" t="str" cm="1">
        <f t="array" ref="K296">_xlfn.IFS(
  OR(MONTH(B296)=12, MONTH(B296)=1, MONTH(B296)=2), "Winter",
  OR(MONTH(B296)=3, MONTH(B296)=4, MONTH(B296)=5), "Spring",
  OR(MONTH(B296)=6, MONTH(B296)=7, MONTH(B296)=8), "Summer",
  OR(MONTH(B296)=9, MONTH(B296)=10, MONTH(B296)=11), "Fall"
)</f>
        <v>Summer</v>
      </c>
    </row>
    <row r="297" spans="1:11">
      <c r="A297">
        <v>296</v>
      </c>
      <c r="B297" s="1">
        <v>45175</v>
      </c>
      <c r="C297" t="s">
        <v>309</v>
      </c>
      <c r="D297" t="s">
        <v>13</v>
      </c>
      <c r="E297" s="2">
        <v>22</v>
      </c>
      <c r="F297" t="s">
        <v>14</v>
      </c>
      <c r="G297" s="2">
        <v>4</v>
      </c>
      <c r="H297" s="3">
        <v>300</v>
      </c>
      <c r="I297" s="3">
        <v>1200</v>
      </c>
      <c r="J297" s="2" t="str">
        <f t="shared" si="4"/>
        <v>18–24</v>
      </c>
      <c r="K297" t="str" cm="1">
        <f t="array" ref="K297">_xlfn.IFS(
  OR(MONTH(B297)=12, MONTH(B297)=1, MONTH(B297)=2), "Winter",
  OR(MONTH(B297)=3, MONTH(B297)=4, MONTH(B297)=5), "Spring",
  OR(MONTH(B297)=6, MONTH(B297)=7, MONTH(B297)=8), "Summer",
  OR(MONTH(B297)=9, MONTH(B297)=10, MONTH(B297)=11), "Fall"
)</f>
        <v>Fall</v>
      </c>
    </row>
    <row r="298" spans="1:11">
      <c r="A298">
        <v>297</v>
      </c>
      <c r="B298" s="1">
        <v>45173</v>
      </c>
      <c r="C298" t="s">
        <v>310</v>
      </c>
      <c r="D298" t="s">
        <v>13</v>
      </c>
      <c r="E298" s="2">
        <v>40</v>
      </c>
      <c r="F298" t="s">
        <v>16</v>
      </c>
      <c r="G298" s="2">
        <v>2</v>
      </c>
      <c r="H298" s="3">
        <v>500</v>
      </c>
      <c r="I298" s="3">
        <v>1000</v>
      </c>
      <c r="J298" s="2" t="str">
        <f t="shared" si="4"/>
        <v>35–44</v>
      </c>
      <c r="K298" t="str" cm="1">
        <f t="array" ref="K298">_xlfn.IFS(
  OR(MONTH(B298)=12, MONTH(B298)=1, MONTH(B298)=2), "Winter",
  OR(MONTH(B298)=3, MONTH(B298)=4, MONTH(B298)=5), "Spring",
  OR(MONTH(B298)=6, MONTH(B298)=7, MONTH(B298)=8), "Summer",
  OR(MONTH(B298)=9, MONTH(B298)=10, MONTH(B298)=11), "Fall"
)</f>
        <v>Fall</v>
      </c>
    </row>
    <row r="299" spans="1:11">
      <c r="A299">
        <v>298</v>
      </c>
      <c r="B299" s="1">
        <v>45036</v>
      </c>
      <c r="C299" t="s">
        <v>311</v>
      </c>
      <c r="D299" t="s">
        <v>10</v>
      </c>
      <c r="E299" s="2">
        <v>27</v>
      </c>
      <c r="F299" t="s">
        <v>11</v>
      </c>
      <c r="G299" s="2">
        <v>4</v>
      </c>
      <c r="H299" s="3">
        <v>300</v>
      </c>
      <c r="I299" s="3">
        <v>1200</v>
      </c>
      <c r="J299" s="2" t="str">
        <f t="shared" si="4"/>
        <v>25–34</v>
      </c>
      <c r="K299" t="str" cm="1">
        <f t="array" ref="K299">_xlfn.IFS(
  OR(MONTH(B299)=12, MONTH(B299)=1, MONTH(B299)=2), "Winter",
  OR(MONTH(B299)=3, MONTH(B299)=4, MONTH(B299)=5), "Spring",
  OR(MONTH(B299)=6, MONTH(B299)=7, MONTH(B299)=8), "Summer",
  OR(MONTH(B299)=9, MONTH(B299)=10, MONTH(B299)=11), "Fall"
)</f>
        <v>Spring</v>
      </c>
    </row>
    <row r="300" spans="1:11">
      <c r="A300">
        <v>299</v>
      </c>
      <c r="B300" s="1">
        <v>45132</v>
      </c>
      <c r="C300" t="s">
        <v>312</v>
      </c>
      <c r="D300" t="s">
        <v>10</v>
      </c>
      <c r="E300" s="2">
        <v>61</v>
      </c>
      <c r="F300" t="s">
        <v>16</v>
      </c>
      <c r="G300" s="2">
        <v>2</v>
      </c>
      <c r="H300" s="3">
        <v>500</v>
      </c>
      <c r="I300" s="3">
        <v>1000</v>
      </c>
      <c r="J300" s="2" t="str">
        <f t="shared" si="4"/>
        <v>55–64</v>
      </c>
      <c r="K300" t="str" cm="1">
        <f t="array" ref="K300">_xlfn.IFS(
  OR(MONTH(B300)=12, MONTH(B300)=1, MONTH(B300)=2), "Winter",
  OR(MONTH(B300)=3, MONTH(B300)=4, MONTH(B300)=5), "Spring",
  OR(MONTH(B300)=6, MONTH(B300)=7, MONTH(B300)=8), "Summer",
  OR(MONTH(B300)=9, MONTH(B300)=10, MONTH(B300)=11), "Fall"
)</f>
        <v>Summer</v>
      </c>
    </row>
    <row r="301" spans="1:11">
      <c r="A301">
        <v>300</v>
      </c>
      <c r="B301" s="1">
        <v>44957</v>
      </c>
      <c r="C301" t="s">
        <v>313</v>
      </c>
      <c r="D301" t="s">
        <v>13</v>
      </c>
      <c r="E301" s="2">
        <v>19</v>
      </c>
      <c r="F301" t="s">
        <v>16</v>
      </c>
      <c r="G301" s="2">
        <v>4</v>
      </c>
      <c r="H301" s="3">
        <v>50</v>
      </c>
      <c r="I301" s="3">
        <v>200</v>
      </c>
      <c r="J301" s="2" t="str">
        <f t="shared" si="4"/>
        <v>18–24</v>
      </c>
      <c r="K301" t="str" cm="1">
        <f t="array" ref="K301">_xlfn.IFS(
  OR(MONTH(B301)=12, MONTH(B301)=1, MONTH(B301)=2), "Winter",
  OR(MONTH(B301)=3, MONTH(B301)=4, MONTH(B301)=5), "Spring",
  OR(MONTH(B301)=6, MONTH(B301)=7, MONTH(B301)=8), "Summer",
  OR(MONTH(B301)=9, MONTH(B301)=10, MONTH(B301)=11), "Fall"
)</f>
        <v>Winter</v>
      </c>
    </row>
    <row r="302" spans="1:11">
      <c r="A302">
        <v>301</v>
      </c>
      <c r="B302" s="1">
        <v>45011</v>
      </c>
      <c r="C302" t="s">
        <v>314</v>
      </c>
      <c r="D302" t="s">
        <v>10</v>
      </c>
      <c r="E302" s="2">
        <v>30</v>
      </c>
      <c r="F302" t="s">
        <v>14</v>
      </c>
      <c r="G302" s="2">
        <v>4</v>
      </c>
      <c r="H302" s="3">
        <v>30</v>
      </c>
      <c r="I302" s="3">
        <v>120</v>
      </c>
      <c r="J302" s="2" t="str">
        <f t="shared" si="4"/>
        <v>25–34</v>
      </c>
      <c r="K302" t="str" cm="1">
        <f t="array" ref="K302">_xlfn.IFS(
  OR(MONTH(B302)=12, MONTH(B302)=1, MONTH(B302)=2), "Winter",
  OR(MONTH(B302)=3, MONTH(B302)=4, MONTH(B302)=5), "Spring",
  OR(MONTH(B302)=6, MONTH(B302)=7, MONTH(B302)=8), "Summer",
  OR(MONTH(B302)=9, MONTH(B302)=10, MONTH(B302)=11), "Fall"
)</f>
        <v>Spring</v>
      </c>
    </row>
    <row r="303" spans="1:11">
      <c r="A303">
        <v>302</v>
      </c>
      <c r="B303" s="1">
        <v>45121</v>
      </c>
      <c r="C303" t="s">
        <v>315</v>
      </c>
      <c r="D303" t="s">
        <v>10</v>
      </c>
      <c r="E303" s="2">
        <v>57</v>
      </c>
      <c r="F303" t="s">
        <v>11</v>
      </c>
      <c r="G303" s="2">
        <v>2</v>
      </c>
      <c r="H303" s="3">
        <v>300</v>
      </c>
      <c r="I303" s="3">
        <v>600</v>
      </c>
      <c r="J303" s="2" t="str">
        <f t="shared" si="4"/>
        <v>55–64</v>
      </c>
      <c r="K303" t="str" cm="1">
        <f t="array" ref="K303">_xlfn.IFS(
  OR(MONTH(B303)=12, MONTH(B303)=1, MONTH(B303)=2), "Winter",
  OR(MONTH(B303)=3, MONTH(B303)=4, MONTH(B303)=5), "Spring",
  OR(MONTH(B303)=6, MONTH(B303)=7, MONTH(B303)=8), "Summer",
  OR(MONTH(B303)=9, MONTH(B303)=10, MONTH(B303)=11), "Fall"
)</f>
        <v>Summer</v>
      </c>
    </row>
    <row r="304" spans="1:11">
      <c r="A304">
        <v>303</v>
      </c>
      <c r="B304" s="1">
        <v>44928</v>
      </c>
      <c r="C304" t="s">
        <v>316</v>
      </c>
      <c r="D304" t="s">
        <v>10</v>
      </c>
      <c r="E304" s="2">
        <v>19</v>
      </c>
      <c r="F304" t="s">
        <v>16</v>
      </c>
      <c r="G304" s="2">
        <v>3</v>
      </c>
      <c r="H304" s="3">
        <v>30</v>
      </c>
      <c r="I304" s="3">
        <v>90</v>
      </c>
      <c r="J304" s="2" t="str">
        <f t="shared" si="4"/>
        <v>18–24</v>
      </c>
      <c r="K304" t="str" cm="1">
        <f t="array" ref="K304">_xlfn.IFS(
  OR(MONTH(B304)=12, MONTH(B304)=1, MONTH(B304)=2), "Winter",
  OR(MONTH(B304)=3, MONTH(B304)=4, MONTH(B304)=5), "Spring",
  OR(MONTH(B304)=6, MONTH(B304)=7, MONTH(B304)=8), "Summer",
  OR(MONTH(B304)=9, MONTH(B304)=10, MONTH(B304)=11), "Fall"
)</f>
        <v>Winter</v>
      </c>
    </row>
    <row r="305" spans="1:11">
      <c r="A305">
        <v>304</v>
      </c>
      <c r="B305" s="1">
        <v>45126</v>
      </c>
      <c r="C305" t="s">
        <v>317</v>
      </c>
      <c r="D305" t="s">
        <v>13</v>
      </c>
      <c r="E305" s="2">
        <v>37</v>
      </c>
      <c r="F305" t="s">
        <v>16</v>
      </c>
      <c r="G305" s="2">
        <v>2</v>
      </c>
      <c r="H305" s="3">
        <v>30</v>
      </c>
      <c r="I305" s="3">
        <v>60</v>
      </c>
      <c r="J305" s="2" t="str">
        <f t="shared" si="4"/>
        <v>35–44</v>
      </c>
      <c r="K305" t="str" cm="1">
        <f t="array" ref="K305">_xlfn.IFS(
  OR(MONTH(B305)=12, MONTH(B305)=1, MONTH(B305)=2), "Winter",
  OR(MONTH(B305)=3, MONTH(B305)=4, MONTH(B305)=5), "Spring",
  OR(MONTH(B305)=6, MONTH(B305)=7, MONTH(B305)=8), "Summer",
  OR(MONTH(B305)=9, MONTH(B305)=10, MONTH(B305)=11), "Fall"
)</f>
        <v>Summer</v>
      </c>
    </row>
    <row r="306" spans="1:11">
      <c r="A306">
        <v>305</v>
      </c>
      <c r="B306" s="1">
        <v>45062</v>
      </c>
      <c r="C306" t="s">
        <v>318</v>
      </c>
      <c r="D306" t="s">
        <v>13</v>
      </c>
      <c r="E306" s="2">
        <v>18</v>
      </c>
      <c r="F306" t="s">
        <v>11</v>
      </c>
      <c r="G306" s="2">
        <v>1</v>
      </c>
      <c r="H306" s="3">
        <v>30</v>
      </c>
      <c r="I306" s="3">
        <v>30</v>
      </c>
      <c r="J306" s="2" t="str">
        <f t="shared" si="4"/>
        <v>18–24</v>
      </c>
      <c r="K306" t="str" cm="1">
        <f t="array" ref="K306">_xlfn.IFS(
  OR(MONTH(B306)=12, MONTH(B306)=1, MONTH(B306)=2), "Winter",
  OR(MONTH(B306)=3, MONTH(B306)=4, MONTH(B306)=5), "Spring",
  OR(MONTH(B306)=6, MONTH(B306)=7, MONTH(B306)=8), "Summer",
  OR(MONTH(B306)=9, MONTH(B306)=10, MONTH(B306)=11), "Fall"
)</f>
        <v>Spring</v>
      </c>
    </row>
    <row r="307" spans="1:11">
      <c r="A307">
        <v>306</v>
      </c>
      <c r="B307" s="1">
        <v>45159</v>
      </c>
      <c r="C307" t="s">
        <v>319</v>
      </c>
      <c r="D307" t="s">
        <v>10</v>
      </c>
      <c r="E307" s="2">
        <v>54</v>
      </c>
      <c r="F307" t="s">
        <v>16</v>
      </c>
      <c r="G307" s="2">
        <v>1</v>
      </c>
      <c r="H307" s="3">
        <v>50</v>
      </c>
      <c r="I307" s="3">
        <v>50</v>
      </c>
      <c r="J307" s="2" t="str">
        <f t="shared" si="4"/>
        <v>45–54</v>
      </c>
      <c r="K307" t="str" cm="1">
        <f t="array" ref="K307">_xlfn.IFS(
  OR(MONTH(B307)=12, MONTH(B307)=1, MONTH(B307)=2), "Winter",
  OR(MONTH(B307)=3, MONTH(B307)=4, MONTH(B307)=5), "Spring",
  OR(MONTH(B307)=6, MONTH(B307)=7, MONTH(B307)=8), "Summer",
  OR(MONTH(B307)=9, MONTH(B307)=10, MONTH(B307)=11), "Fall"
)</f>
        <v>Summer</v>
      </c>
    </row>
    <row r="308" spans="1:11">
      <c r="A308">
        <v>307</v>
      </c>
      <c r="B308" s="1">
        <v>45073</v>
      </c>
      <c r="C308" t="s">
        <v>320</v>
      </c>
      <c r="D308" t="s">
        <v>13</v>
      </c>
      <c r="E308" s="2">
        <v>26</v>
      </c>
      <c r="F308" t="s">
        <v>16</v>
      </c>
      <c r="G308" s="2">
        <v>2</v>
      </c>
      <c r="H308" s="3">
        <v>25</v>
      </c>
      <c r="I308" s="3">
        <v>50</v>
      </c>
      <c r="J308" s="2" t="str">
        <f t="shared" si="4"/>
        <v>25–34</v>
      </c>
      <c r="K308" t="str" cm="1">
        <f t="array" ref="K308">_xlfn.IFS(
  OR(MONTH(B308)=12, MONTH(B308)=1, MONTH(B308)=2), "Winter",
  OR(MONTH(B308)=3, MONTH(B308)=4, MONTH(B308)=5), "Spring",
  OR(MONTH(B308)=6, MONTH(B308)=7, MONTH(B308)=8), "Summer",
  OR(MONTH(B308)=9, MONTH(B308)=10, MONTH(B308)=11), "Fall"
)</f>
        <v>Spring</v>
      </c>
    </row>
    <row r="309" spans="1:11">
      <c r="A309">
        <v>308</v>
      </c>
      <c r="B309" s="1">
        <v>45143</v>
      </c>
      <c r="C309" t="s">
        <v>321</v>
      </c>
      <c r="D309" t="s">
        <v>13</v>
      </c>
      <c r="E309" s="2">
        <v>34</v>
      </c>
      <c r="F309" t="s">
        <v>11</v>
      </c>
      <c r="G309" s="2">
        <v>4</v>
      </c>
      <c r="H309" s="3">
        <v>300</v>
      </c>
      <c r="I309" s="3">
        <v>1200</v>
      </c>
      <c r="J309" s="2" t="str">
        <f t="shared" si="4"/>
        <v>25–34</v>
      </c>
      <c r="K309" t="str" cm="1">
        <f t="array" ref="K309">_xlfn.IFS(
  OR(MONTH(B309)=12, MONTH(B309)=1, MONTH(B309)=2), "Winter",
  OR(MONTH(B309)=3, MONTH(B309)=4, MONTH(B309)=5), "Spring",
  OR(MONTH(B309)=6, MONTH(B309)=7, MONTH(B309)=8), "Summer",
  OR(MONTH(B309)=9, MONTH(B309)=10, MONTH(B309)=11), "Fall"
)</f>
        <v>Summer</v>
      </c>
    </row>
    <row r="310" spans="1:11">
      <c r="A310">
        <v>309</v>
      </c>
      <c r="B310" s="1">
        <v>45283</v>
      </c>
      <c r="C310" t="s">
        <v>322</v>
      </c>
      <c r="D310" t="s">
        <v>13</v>
      </c>
      <c r="E310" s="2">
        <v>26</v>
      </c>
      <c r="F310" t="s">
        <v>11</v>
      </c>
      <c r="G310" s="2">
        <v>1</v>
      </c>
      <c r="H310" s="3">
        <v>25</v>
      </c>
      <c r="I310" s="3">
        <v>25</v>
      </c>
      <c r="J310" s="2" t="str">
        <f t="shared" si="4"/>
        <v>25–34</v>
      </c>
      <c r="K310" t="str" cm="1">
        <f t="array" ref="K310">_xlfn.IFS(
  OR(MONTH(B310)=12, MONTH(B310)=1, MONTH(B310)=2), "Winter",
  OR(MONTH(B310)=3, MONTH(B310)=4, MONTH(B310)=5), "Spring",
  OR(MONTH(B310)=6, MONTH(B310)=7, MONTH(B310)=8), "Summer",
  OR(MONTH(B310)=9, MONTH(B310)=10, MONTH(B310)=11), "Fall"
)</f>
        <v>Winter</v>
      </c>
    </row>
    <row r="311" spans="1:11">
      <c r="A311">
        <v>310</v>
      </c>
      <c r="B311" s="1">
        <v>45211</v>
      </c>
      <c r="C311" t="s">
        <v>323</v>
      </c>
      <c r="D311" t="s">
        <v>13</v>
      </c>
      <c r="E311" s="2">
        <v>28</v>
      </c>
      <c r="F311" t="s">
        <v>11</v>
      </c>
      <c r="G311" s="2">
        <v>1</v>
      </c>
      <c r="H311" s="3">
        <v>25</v>
      </c>
      <c r="I311" s="3">
        <v>25</v>
      </c>
      <c r="J311" s="2" t="str">
        <f t="shared" si="4"/>
        <v>25–34</v>
      </c>
      <c r="K311" t="str" cm="1">
        <f t="array" ref="K311">_xlfn.IFS(
  OR(MONTH(B311)=12, MONTH(B311)=1, MONTH(B311)=2), "Winter",
  OR(MONTH(B311)=3, MONTH(B311)=4, MONTH(B311)=5), "Spring",
  OR(MONTH(B311)=6, MONTH(B311)=7, MONTH(B311)=8), "Summer",
  OR(MONTH(B311)=9, MONTH(B311)=10, MONTH(B311)=11), "Fall"
)</f>
        <v>Fall</v>
      </c>
    </row>
    <row r="312" spans="1:11">
      <c r="A312">
        <v>311</v>
      </c>
      <c r="B312" s="1">
        <v>45265</v>
      </c>
      <c r="C312" t="s">
        <v>324</v>
      </c>
      <c r="D312" t="s">
        <v>13</v>
      </c>
      <c r="E312" s="2">
        <v>32</v>
      </c>
      <c r="F312" t="s">
        <v>11</v>
      </c>
      <c r="G312" s="2">
        <v>4</v>
      </c>
      <c r="H312" s="3">
        <v>25</v>
      </c>
      <c r="I312" s="3">
        <v>100</v>
      </c>
      <c r="J312" s="2" t="str">
        <f t="shared" si="4"/>
        <v>25–34</v>
      </c>
      <c r="K312" t="str" cm="1">
        <f t="array" ref="K312">_xlfn.IFS(
  OR(MONTH(B312)=12, MONTH(B312)=1, MONTH(B312)=2), "Winter",
  OR(MONTH(B312)=3, MONTH(B312)=4, MONTH(B312)=5), "Spring",
  OR(MONTH(B312)=6, MONTH(B312)=7, MONTH(B312)=8), "Summer",
  OR(MONTH(B312)=9, MONTH(B312)=10, MONTH(B312)=11), "Fall"
)</f>
        <v>Winter</v>
      </c>
    </row>
    <row r="313" spans="1:11">
      <c r="A313">
        <v>312</v>
      </c>
      <c r="B313" s="1">
        <v>45176</v>
      </c>
      <c r="C313" t="s">
        <v>325</v>
      </c>
      <c r="D313" t="s">
        <v>10</v>
      </c>
      <c r="E313" s="2">
        <v>41</v>
      </c>
      <c r="F313" t="s">
        <v>14</v>
      </c>
      <c r="G313" s="2">
        <v>4</v>
      </c>
      <c r="H313" s="3">
        <v>30</v>
      </c>
      <c r="I313" s="3">
        <v>120</v>
      </c>
      <c r="J313" s="2" t="str">
        <f t="shared" si="4"/>
        <v>35–44</v>
      </c>
      <c r="K313" t="str" cm="1">
        <f t="array" ref="K313">_xlfn.IFS(
  OR(MONTH(B313)=12, MONTH(B313)=1, MONTH(B313)=2), "Winter",
  OR(MONTH(B313)=3, MONTH(B313)=4, MONTH(B313)=5), "Spring",
  OR(MONTH(B313)=6, MONTH(B313)=7, MONTH(B313)=8), "Summer",
  OR(MONTH(B313)=9, MONTH(B313)=10, MONTH(B313)=11), "Fall"
)</f>
        <v>Fall</v>
      </c>
    </row>
    <row r="314" spans="1:11">
      <c r="A314">
        <v>313</v>
      </c>
      <c r="B314" s="1">
        <v>45006</v>
      </c>
      <c r="C314" t="s">
        <v>326</v>
      </c>
      <c r="D314" t="s">
        <v>13</v>
      </c>
      <c r="E314" s="2">
        <v>55</v>
      </c>
      <c r="F314" t="s">
        <v>11</v>
      </c>
      <c r="G314" s="2">
        <v>3</v>
      </c>
      <c r="H314" s="3">
        <v>500</v>
      </c>
      <c r="I314" s="3">
        <v>1500</v>
      </c>
      <c r="J314" s="2" t="str">
        <f t="shared" si="4"/>
        <v>55–64</v>
      </c>
      <c r="K314" t="str" cm="1">
        <f t="array" ref="K314">_xlfn.IFS(
  OR(MONTH(B314)=12, MONTH(B314)=1, MONTH(B314)=2), "Winter",
  OR(MONTH(B314)=3, MONTH(B314)=4, MONTH(B314)=5), "Spring",
  OR(MONTH(B314)=6, MONTH(B314)=7, MONTH(B314)=8), "Summer",
  OR(MONTH(B314)=9, MONTH(B314)=10, MONTH(B314)=11), "Fall"
)</f>
        <v>Spring</v>
      </c>
    </row>
    <row r="315" spans="1:11">
      <c r="A315">
        <v>314</v>
      </c>
      <c r="B315" s="1">
        <v>45024</v>
      </c>
      <c r="C315" t="s">
        <v>327</v>
      </c>
      <c r="D315" t="s">
        <v>10</v>
      </c>
      <c r="E315" s="2">
        <v>52</v>
      </c>
      <c r="F315" t="s">
        <v>14</v>
      </c>
      <c r="G315" s="2">
        <v>4</v>
      </c>
      <c r="H315" s="3">
        <v>30</v>
      </c>
      <c r="I315" s="3">
        <v>120</v>
      </c>
      <c r="J315" s="2" t="str">
        <f t="shared" si="4"/>
        <v>45–54</v>
      </c>
      <c r="K315" t="str" cm="1">
        <f t="array" ref="K315">_xlfn.IFS(
  OR(MONTH(B315)=12, MONTH(B315)=1, MONTH(B315)=2), "Winter",
  OR(MONTH(B315)=3, MONTH(B315)=4, MONTH(B315)=5), "Spring",
  OR(MONTH(B315)=6, MONTH(B315)=7, MONTH(B315)=8), "Summer",
  OR(MONTH(B315)=9, MONTH(B315)=10, MONTH(B315)=11), "Fall"
)</f>
        <v>Spring</v>
      </c>
    </row>
    <row r="316" spans="1:11">
      <c r="A316">
        <v>315</v>
      </c>
      <c r="B316" s="1">
        <v>45078</v>
      </c>
      <c r="C316" t="s">
        <v>328</v>
      </c>
      <c r="D316" t="s">
        <v>10</v>
      </c>
      <c r="E316" s="2">
        <v>47</v>
      </c>
      <c r="F316" t="s">
        <v>14</v>
      </c>
      <c r="G316" s="2">
        <v>2</v>
      </c>
      <c r="H316" s="3">
        <v>30</v>
      </c>
      <c r="I316" s="3">
        <v>60</v>
      </c>
      <c r="J316" s="2" t="str">
        <f t="shared" si="4"/>
        <v>45–54</v>
      </c>
      <c r="K316" t="str" cm="1">
        <f t="array" ref="K316">_xlfn.IFS(
  OR(MONTH(B316)=12, MONTH(B316)=1, MONTH(B316)=2), "Winter",
  OR(MONTH(B316)=3, MONTH(B316)=4, MONTH(B316)=5), "Spring",
  OR(MONTH(B316)=6, MONTH(B316)=7, MONTH(B316)=8), "Summer",
  OR(MONTH(B316)=9, MONTH(B316)=10, MONTH(B316)=11), "Fall"
)</f>
        <v>Summer</v>
      </c>
    </row>
    <row r="317" spans="1:11">
      <c r="A317">
        <v>316</v>
      </c>
      <c r="B317" s="1">
        <v>45038</v>
      </c>
      <c r="C317" t="s">
        <v>329</v>
      </c>
      <c r="D317" t="s">
        <v>13</v>
      </c>
      <c r="E317" s="2">
        <v>48</v>
      </c>
      <c r="F317" t="s">
        <v>14</v>
      </c>
      <c r="G317" s="2">
        <v>2</v>
      </c>
      <c r="H317" s="3">
        <v>25</v>
      </c>
      <c r="I317" s="3">
        <v>50</v>
      </c>
      <c r="J317" s="2" t="str">
        <f t="shared" si="4"/>
        <v>45–54</v>
      </c>
      <c r="K317" t="str" cm="1">
        <f t="array" ref="K317">_xlfn.IFS(
  OR(MONTH(B317)=12, MONTH(B317)=1, MONTH(B317)=2), "Winter",
  OR(MONTH(B317)=3, MONTH(B317)=4, MONTH(B317)=5), "Spring",
  OR(MONTH(B317)=6, MONTH(B317)=7, MONTH(B317)=8), "Summer",
  OR(MONTH(B317)=9, MONTH(B317)=10, MONTH(B317)=11), "Fall"
)</f>
        <v>Spring</v>
      </c>
    </row>
    <row r="318" spans="1:11">
      <c r="A318">
        <v>317</v>
      </c>
      <c r="B318" s="1">
        <v>44956</v>
      </c>
      <c r="C318" t="s">
        <v>330</v>
      </c>
      <c r="D318" t="s">
        <v>10</v>
      </c>
      <c r="E318" s="2">
        <v>22</v>
      </c>
      <c r="F318" t="s">
        <v>16</v>
      </c>
      <c r="G318" s="2">
        <v>3</v>
      </c>
      <c r="H318" s="3">
        <v>30</v>
      </c>
      <c r="I318" s="3">
        <v>90</v>
      </c>
      <c r="J318" s="2" t="str">
        <f t="shared" si="4"/>
        <v>18–24</v>
      </c>
      <c r="K318" t="str" cm="1">
        <f t="array" ref="K318">_xlfn.IFS(
  OR(MONTH(B318)=12, MONTH(B318)=1, MONTH(B318)=2), "Winter",
  OR(MONTH(B318)=3, MONTH(B318)=4, MONTH(B318)=5), "Spring",
  OR(MONTH(B318)=6, MONTH(B318)=7, MONTH(B318)=8), "Summer",
  OR(MONTH(B318)=9, MONTH(B318)=10, MONTH(B318)=11), "Fall"
)</f>
        <v>Winter</v>
      </c>
    </row>
    <row r="319" spans="1:11">
      <c r="A319">
        <v>318</v>
      </c>
      <c r="B319" s="1">
        <v>45223</v>
      </c>
      <c r="C319" t="s">
        <v>331</v>
      </c>
      <c r="D319" t="s">
        <v>10</v>
      </c>
      <c r="E319" s="2">
        <v>61</v>
      </c>
      <c r="F319" t="s">
        <v>14</v>
      </c>
      <c r="G319" s="2">
        <v>1</v>
      </c>
      <c r="H319" s="3">
        <v>25</v>
      </c>
      <c r="I319" s="3">
        <v>25</v>
      </c>
      <c r="J319" s="2" t="str">
        <f t="shared" si="4"/>
        <v>55–64</v>
      </c>
      <c r="K319" t="str" cm="1">
        <f t="array" ref="K319">_xlfn.IFS(
  OR(MONTH(B319)=12, MONTH(B319)=1, MONTH(B319)=2), "Winter",
  OR(MONTH(B319)=3, MONTH(B319)=4, MONTH(B319)=5), "Spring",
  OR(MONTH(B319)=6, MONTH(B319)=7, MONTH(B319)=8), "Summer",
  OR(MONTH(B319)=9, MONTH(B319)=10, MONTH(B319)=11), "Fall"
)</f>
        <v>Fall</v>
      </c>
    </row>
    <row r="320" spans="1:11">
      <c r="A320">
        <v>319</v>
      </c>
      <c r="B320" s="1">
        <v>45204</v>
      </c>
      <c r="C320" t="s">
        <v>332</v>
      </c>
      <c r="D320" t="s">
        <v>10</v>
      </c>
      <c r="E320" s="2">
        <v>31</v>
      </c>
      <c r="F320" t="s">
        <v>14</v>
      </c>
      <c r="G320" s="2">
        <v>1</v>
      </c>
      <c r="H320" s="3">
        <v>500</v>
      </c>
      <c r="I320" s="3">
        <v>500</v>
      </c>
      <c r="J320" s="2" t="str">
        <f t="shared" si="4"/>
        <v>25–34</v>
      </c>
      <c r="K320" t="str" cm="1">
        <f t="array" ref="K320">_xlfn.IFS(
  OR(MONTH(B320)=12, MONTH(B320)=1, MONTH(B320)=2), "Winter",
  OR(MONTH(B320)=3, MONTH(B320)=4, MONTH(B320)=5), "Spring",
  OR(MONTH(B320)=6, MONTH(B320)=7, MONTH(B320)=8), "Summer",
  OR(MONTH(B320)=9, MONTH(B320)=10, MONTH(B320)=11), "Fall"
)</f>
        <v>Fall</v>
      </c>
    </row>
    <row r="321" spans="1:11">
      <c r="A321">
        <v>320</v>
      </c>
      <c r="B321" s="1">
        <v>44958</v>
      </c>
      <c r="C321" t="s">
        <v>333</v>
      </c>
      <c r="D321" t="s">
        <v>13</v>
      </c>
      <c r="E321" s="2">
        <v>28</v>
      </c>
      <c r="F321" t="s">
        <v>16</v>
      </c>
      <c r="G321" s="2">
        <v>4</v>
      </c>
      <c r="H321" s="3">
        <v>300</v>
      </c>
      <c r="I321" s="3">
        <v>1200</v>
      </c>
      <c r="J321" s="2" t="str">
        <f t="shared" si="4"/>
        <v>25–34</v>
      </c>
      <c r="K321" t="str" cm="1">
        <f t="array" ref="K321">_xlfn.IFS(
  OR(MONTH(B321)=12, MONTH(B321)=1, MONTH(B321)=2), "Winter",
  OR(MONTH(B321)=3, MONTH(B321)=4, MONTH(B321)=5), "Spring",
  OR(MONTH(B321)=6, MONTH(B321)=7, MONTH(B321)=8), "Summer",
  OR(MONTH(B321)=9, MONTH(B321)=10, MONTH(B321)=11), "Fall"
)</f>
        <v>Winter</v>
      </c>
    </row>
    <row r="322" spans="1:11">
      <c r="A322">
        <v>321</v>
      </c>
      <c r="B322" s="1">
        <v>45087</v>
      </c>
      <c r="C322" t="s">
        <v>334</v>
      </c>
      <c r="D322" t="s">
        <v>13</v>
      </c>
      <c r="E322" s="2">
        <v>26</v>
      </c>
      <c r="F322" t="s">
        <v>16</v>
      </c>
      <c r="G322" s="2">
        <v>2</v>
      </c>
      <c r="H322" s="3">
        <v>25</v>
      </c>
      <c r="I322" s="3">
        <v>50</v>
      </c>
      <c r="J322" s="2" t="str">
        <f t="shared" ref="J322:J385" si="5">IF(AND(E322&gt;=18, E322&lt;=24), "18–24",
 IF(AND(E322&gt;=25, E322&lt;=34), "25–34",
 IF(AND(E322&gt;=35, E322&lt;=44), "35–44",
 IF(AND(E322&gt;=45, E322&lt;=54), "45–54",
 IF(AND(E322&gt;=55, E322&lt;=64), "55–64", "Other")))))</f>
        <v>25–34</v>
      </c>
      <c r="K322" t="str" cm="1">
        <f t="array" ref="K322">_xlfn.IFS(
  OR(MONTH(B322)=12, MONTH(B322)=1, MONTH(B322)=2), "Winter",
  OR(MONTH(B322)=3, MONTH(B322)=4, MONTH(B322)=5), "Spring",
  OR(MONTH(B322)=6, MONTH(B322)=7, MONTH(B322)=8), "Summer",
  OR(MONTH(B322)=9, MONTH(B322)=10, MONTH(B322)=11), "Fall"
)</f>
        <v>Summer</v>
      </c>
    </row>
    <row r="323" spans="1:11">
      <c r="A323">
        <v>322</v>
      </c>
      <c r="B323" s="1">
        <v>44956</v>
      </c>
      <c r="C323" t="s">
        <v>335</v>
      </c>
      <c r="D323" t="s">
        <v>10</v>
      </c>
      <c r="E323" s="2">
        <v>51</v>
      </c>
      <c r="F323" t="s">
        <v>16</v>
      </c>
      <c r="G323" s="2">
        <v>1</v>
      </c>
      <c r="H323" s="3">
        <v>500</v>
      </c>
      <c r="I323" s="3">
        <v>500</v>
      </c>
      <c r="J323" s="2" t="str">
        <f t="shared" si="5"/>
        <v>45–54</v>
      </c>
      <c r="K323" t="str" cm="1">
        <f t="array" ref="K323">_xlfn.IFS(
  OR(MONTH(B323)=12, MONTH(B323)=1, MONTH(B323)=2), "Winter",
  OR(MONTH(B323)=3, MONTH(B323)=4, MONTH(B323)=5), "Spring",
  OR(MONTH(B323)=6, MONTH(B323)=7, MONTH(B323)=8), "Summer",
  OR(MONTH(B323)=9, MONTH(B323)=10, MONTH(B323)=11), "Fall"
)</f>
        <v>Winter</v>
      </c>
    </row>
    <row r="324" spans="1:11">
      <c r="A324">
        <v>323</v>
      </c>
      <c r="B324" s="1">
        <v>44952</v>
      </c>
      <c r="C324" t="s">
        <v>336</v>
      </c>
      <c r="D324" t="s">
        <v>13</v>
      </c>
      <c r="E324" s="2">
        <v>29</v>
      </c>
      <c r="F324" t="s">
        <v>11</v>
      </c>
      <c r="G324" s="2">
        <v>3</v>
      </c>
      <c r="H324" s="3">
        <v>300</v>
      </c>
      <c r="I324" s="3">
        <v>900</v>
      </c>
      <c r="J324" s="2" t="str">
        <f t="shared" si="5"/>
        <v>25–34</v>
      </c>
      <c r="K324" t="str" cm="1">
        <f t="array" ref="K324">_xlfn.IFS(
  OR(MONTH(B324)=12, MONTH(B324)=1, MONTH(B324)=2), "Winter",
  OR(MONTH(B324)=3, MONTH(B324)=4, MONTH(B324)=5), "Spring",
  OR(MONTH(B324)=6, MONTH(B324)=7, MONTH(B324)=8), "Summer",
  OR(MONTH(B324)=9, MONTH(B324)=10, MONTH(B324)=11), "Fall"
)</f>
        <v>Winter</v>
      </c>
    </row>
    <row r="325" spans="1:11">
      <c r="A325">
        <v>324</v>
      </c>
      <c r="B325" s="1">
        <v>45226</v>
      </c>
      <c r="C325" t="s">
        <v>337</v>
      </c>
      <c r="D325" t="s">
        <v>13</v>
      </c>
      <c r="E325" s="2">
        <v>52</v>
      </c>
      <c r="F325" t="s">
        <v>16</v>
      </c>
      <c r="G325" s="2">
        <v>3</v>
      </c>
      <c r="H325" s="3">
        <v>50</v>
      </c>
      <c r="I325" s="3">
        <v>150</v>
      </c>
      <c r="J325" s="2" t="str">
        <f t="shared" si="5"/>
        <v>45–54</v>
      </c>
      <c r="K325" t="str" cm="1">
        <f t="array" ref="K325">_xlfn.IFS(
  OR(MONTH(B325)=12, MONTH(B325)=1, MONTH(B325)=2), "Winter",
  OR(MONTH(B325)=3, MONTH(B325)=4, MONTH(B325)=5), "Spring",
  OR(MONTH(B325)=6, MONTH(B325)=7, MONTH(B325)=8), "Summer",
  OR(MONTH(B325)=9, MONTH(B325)=10, MONTH(B325)=11), "Fall"
)</f>
        <v>Fall</v>
      </c>
    </row>
    <row r="326" spans="1:11">
      <c r="A326">
        <v>325</v>
      </c>
      <c r="B326" s="1">
        <v>45171</v>
      </c>
      <c r="C326" t="s">
        <v>338</v>
      </c>
      <c r="D326" t="s">
        <v>13</v>
      </c>
      <c r="E326" s="2">
        <v>52</v>
      </c>
      <c r="F326" t="s">
        <v>16</v>
      </c>
      <c r="G326" s="2">
        <v>2</v>
      </c>
      <c r="H326" s="3">
        <v>25</v>
      </c>
      <c r="I326" s="3">
        <v>50</v>
      </c>
      <c r="J326" s="2" t="str">
        <f t="shared" si="5"/>
        <v>45–54</v>
      </c>
      <c r="K326" t="str" cm="1">
        <f t="array" ref="K326">_xlfn.IFS(
  OR(MONTH(B326)=12, MONTH(B326)=1, MONTH(B326)=2), "Winter",
  OR(MONTH(B326)=3, MONTH(B326)=4, MONTH(B326)=5), "Spring",
  OR(MONTH(B326)=6, MONTH(B326)=7, MONTH(B326)=8), "Summer",
  OR(MONTH(B326)=9, MONTH(B326)=10, MONTH(B326)=11), "Fall"
)</f>
        <v>Fall</v>
      </c>
    </row>
    <row r="327" spans="1:11">
      <c r="A327">
        <v>326</v>
      </c>
      <c r="B327" s="1">
        <v>45184</v>
      </c>
      <c r="C327" t="s">
        <v>339</v>
      </c>
      <c r="D327" t="s">
        <v>13</v>
      </c>
      <c r="E327" s="2">
        <v>18</v>
      </c>
      <c r="F327" t="s">
        <v>14</v>
      </c>
      <c r="G327" s="2">
        <v>3</v>
      </c>
      <c r="H327" s="3">
        <v>25</v>
      </c>
      <c r="I327" s="3">
        <v>75</v>
      </c>
      <c r="J327" s="2" t="str">
        <f t="shared" si="5"/>
        <v>18–24</v>
      </c>
      <c r="K327" t="str" cm="1">
        <f t="array" ref="K327">_xlfn.IFS(
  OR(MONTH(B327)=12, MONTH(B327)=1, MONTH(B327)=2), "Winter",
  OR(MONTH(B327)=3, MONTH(B327)=4, MONTH(B327)=5), "Spring",
  OR(MONTH(B327)=6, MONTH(B327)=7, MONTH(B327)=8), "Summer",
  OR(MONTH(B327)=9, MONTH(B327)=10, MONTH(B327)=11), "Fall"
)</f>
        <v>Fall</v>
      </c>
    </row>
    <row r="328" spans="1:11">
      <c r="A328">
        <v>327</v>
      </c>
      <c r="B328" s="1">
        <v>45198</v>
      </c>
      <c r="C328" t="s">
        <v>340</v>
      </c>
      <c r="D328" t="s">
        <v>10</v>
      </c>
      <c r="E328" s="2">
        <v>57</v>
      </c>
      <c r="F328" t="s">
        <v>16</v>
      </c>
      <c r="G328" s="2">
        <v>3</v>
      </c>
      <c r="H328" s="3">
        <v>50</v>
      </c>
      <c r="I328" s="3">
        <v>150</v>
      </c>
      <c r="J328" s="2" t="str">
        <f t="shared" si="5"/>
        <v>55–64</v>
      </c>
      <c r="K328" t="str" cm="1">
        <f t="array" ref="K328">_xlfn.IFS(
  OR(MONTH(B328)=12, MONTH(B328)=1, MONTH(B328)=2), "Winter",
  OR(MONTH(B328)=3, MONTH(B328)=4, MONTH(B328)=5), "Spring",
  OR(MONTH(B328)=6, MONTH(B328)=7, MONTH(B328)=8), "Summer",
  OR(MONTH(B328)=9, MONTH(B328)=10, MONTH(B328)=11), "Fall"
)</f>
        <v>Fall</v>
      </c>
    </row>
    <row r="329" spans="1:11">
      <c r="A329">
        <v>328</v>
      </c>
      <c r="B329" s="1">
        <v>45007</v>
      </c>
      <c r="C329" t="s">
        <v>341</v>
      </c>
      <c r="D329" t="s">
        <v>10</v>
      </c>
      <c r="E329" s="2">
        <v>39</v>
      </c>
      <c r="F329" t="s">
        <v>11</v>
      </c>
      <c r="G329" s="2">
        <v>2</v>
      </c>
      <c r="H329" s="3">
        <v>50</v>
      </c>
      <c r="I329" s="3">
        <v>100</v>
      </c>
      <c r="J329" s="2" t="str">
        <f t="shared" si="5"/>
        <v>35–44</v>
      </c>
      <c r="K329" t="str" cm="1">
        <f t="array" ref="K329">_xlfn.IFS(
  OR(MONTH(B329)=12, MONTH(B329)=1, MONTH(B329)=2), "Winter",
  OR(MONTH(B329)=3, MONTH(B329)=4, MONTH(B329)=5), "Spring",
  OR(MONTH(B329)=6, MONTH(B329)=7, MONTH(B329)=8), "Summer",
  OR(MONTH(B329)=9, MONTH(B329)=10, MONTH(B329)=11), "Fall"
)</f>
        <v>Spring</v>
      </c>
    </row>
    <row r="330" spans="1:11">
      <c r="A330">
        <v>329</v>
      </c>
      <c r="B330" s="1">
        <v>44956</v>
      </c>
      <c r="C330" t="s">
        <v>342</v>
      </c>
      <c r="D330" t="s">
        <v>13</v>
      </c>
      <c r="E330" s="2">
        <v>46</v>
      </c>
      <c r="F330" t="s">
        <v>16</v>
      </c>
      <c r="G330" s="2">
        <v>4</v>
      </c>
      <c r="H330" s="3">
        <v>25</v>
      </c>
      <c r="I330" s="3">
        <v>100</v>
      </c>
      <c r="J330" s="2" t="str">
        <f t="shared" si="5"/>
        <v>45–54</v>
      </c>
      <c r="K330" t="str" cm="1">
        <f t="array" ref="K330">_xlfn.IFS(
  OR(MONTH(B330)=12, MONTH(B330)=1, MONTH(B330)=2), "Winter",
  OR(MONTH(B330)=3, MONTH(B330)=4, MONTH(B330)=5), "Spring",
  OR(MONTH(B330)=6, MONTH(B330)=7, MONTH(B330)=8), "Summer",
  OR(MONTH(B330)=9, MONTH(B330)=10, MONTH(B330)=11), "Fall"
)</f>
        <v>Winter</v>
      </c>
    </row>
    <row r="331" spans="1:11">
      <c r="A331">
        <v>330</v>
      </c>
      <c r="B331" s="1">
        <v>45187</v>
      </c>
      <c r="C331" t="s">
        <v>343</v>
      </c>
      <c r="D331" t="s">
        <v>13</v>
      </c>
      <c r="E331" s="2">
        <v>25</v>
      </c>
      <c r="F331" t="s">
        <v>11</v>
      </c>
      <c r="G331" s="2">
        <v>4</v>
      </c>
      <c r="H331" s="3">
        <v>50</v>
      </c>
      <c r="I331" s="3">
        <v>200</v>
      </c>
      <c r="J331" s="2" t="str">
        <f t="shared" si="5"/>
        <v>25–34</v>
      </c>
      <c r="K331" t="str" cm="1">
        <f t="array" ref="K331">_xlfn.IFS(
  OR(MONTH(B331)=12, MONTH(B331)=1, MONTH(B331)=2), "Winter",
  OR(MONTH(B331)=3, MONTH(B331)=4, MONTH(B331)=5), "Spring",
  OR(MONTH(B331)=6, MONTH(B331)=7, MONTH(B331)=8), "Summer",
  OR(MONTH(B331)=9, MONTH(B331)=10, MONTH(B331)=11), "Fall"
)</f>
        <v>Fall</v>
      </c>
    </row>
    <row r="332" spans="1:11">
      <c r="A332">
        <v>331</v>
      </c>
      <c r="B332" s="1">
        <v>44968</v>
      </c>
      <c r="C332" t="s">
        <v>344</v>
      </c>
      <c r="D332" t="s">
        <v>10</v>
      </c>
      <c r="E332" s="2">
        <v>28</v>
      </c>
      <c r="F332" t="s">
        <v>16</v>
      </c>
      <c r="G332" s="2">
        <v>3</v>
      </c>
      <c r="H332" s="3">
        <v>30</v>
      </c>
      <c r="I332" s="3">
        <v>90</v>
      </c>
      <c r="J332" s="2" t="str">
        <f t="shared" si="5"/>
        <v>25–34</v>
      </c>
      <c r="K332" t="str" cm="1">
        <f t="array" ref="K332">_xlfn.IFS(
  OR(MONTH(B332)=12, MONTH(B332)=1, MONTH(B332)=2), "Winter",
  OR(MONTH(B332)=3, MONTH(B332)=4, MONTH(B332)=5), "Spring",
  OR(MONTH(B332)=6, MONTH(B332)=7, MONTH(B332)=8), "Summer",
  OR(MONTH(B332)=9, MONTH(B332)=10, MONTH(B332)=11), "Fall"
)</f>
        <v>Winter</v>
      </c>
    </row>
    <row r="333" spans="1:11">
      <c r="A333">
        <v>332</v>
      </c>
      <c r="B333" s="1">
        <v>45022</v>
      </c>
      <c r="C333" t="s">
        <v>345</v>
      </c>
      <c r="D333" t="s">
        <v>10</v>
      </c>
      <c r="E333" s="2">
        <v>58</v>
      </c>
      <c r="F333" t="s">
        <v>16</v>
      </c>
      <c r="G333" s="2">
        <v>4</v>
      </c>
      <c r="H333" s="3">
        <v>300</v>
      </c>
      <c r="I333" s="3">
        <v>1200</v>
      </c>
      <c r="J333" s="2" t="str">
        <f t="shared" si="5"/>
        <v>55–64</v>
      </c>
      <c r="K333" t="str" cm="1">
        <f t="array" ref="K333">_xlfn.IFS(
  OR(MONTH(B333)=12, MONTH(B333)=1, MONTH(B333)=2), "Winter",
  OR(MONTH(B333)=3, MONTH(B333)=4, MONTH(B333)=5), "Spring",
  OR(MONTH(B333)=6, MONTH(B333)=7, MONTH(B333)=8), "Summer",
  OR(MONTH(B333)=9, MONTH(B333)=10, MONTH(B333)=11), "Fall"
)</f>
        <v>Spring</v>
      </c>
    </row>
    <row r="334" spans="1:11">
      <c r="A334">
        <v>333</v>
      </c>
      <c r="B334" s="1">
        <v>44962</v>
      </c>
      <c r="C334" t="s">
        <v>346</v>
      </c>
      <c r="D334" t="s">
        <v>13</v>
      </c>
      <c r="E334" s="2">
        <v>54</v>
      </c>
      <c r="F334" t="s">
        <v>16</v>
      </c>
      <c r="G334" s="2">
        <v>4</v>
      </c>
      <c r="H334" s="3">
        <v>300</v>
      </c>
      <c r="I334" s="3">
        <v>1200</v>
      </c>
      <c r="J334" s="2" t="str">
        <f t="shared" si="5"/>
        <v>45–54</v>
      </c>
      <c r="K334" t="str" cm="1">
        <f t="array" ref="K334">_xlfn.IFS(
  OR(MONTH(B334)=12, MONTH(B334)=1, MONTH(B334)=2), "Winter",
  OR(MONTH(B334)=3, MONTH(B334)=4, MONTH(B334)=5), "Spring",
  OR(MONTH(B334)=6, MONTH(B334)=7, MONTH(B334)=8), "Summer",
  OR(MONTH(B334)=9, MONTH(B334)=10, MONTH(B334)=11), "Fall"
)</f>
        <v>Winter</v>
      </c>
    </row>
    <row r="335" spans="1:11">
      <c r="A335">
        <v>334</v>
      </c>
      <c r="B335" s="1">
        <v>45231</v>
      </c>
      <c r="C335" t="s">
        <v>347</v>
      </c>
      <c r="D335" t="s">
        <v>10</v>
      </c>
      <c r="E335" s="2">
        <v>31</v>
      </c>
      <c r="F335" t="s">
        <v>16</v>
      </c>
      <c r="G335" s="2">
        <v>3</v>
      </c>
      <c r="H335" s="3">
        <v>300</v>
      </c>
      <c r="I335" s="3">
        <v>900</v>
      </c>
      <c r="J335" s="2" t="str">
        <f t="shared" si="5"/>
        <v>25–34</v>
      </c>
      <c r="K335" t="str" cm="1">
        <f t="array" ref="K335">_xlfn.IFS(
  OR(MONTH(B335)=12, MONTH(B335)=1, MONTH(B335)=2), "Winter",
  OR(MONTH(B335)=3, MONTH(B335)=4, MONTH(B335)=5), "Spring",
  OR(MONTH(B335)=6, MONTH(B335)=7, MONTH(B335)=8), "Summer",
  OR(MONTH(B335)=9, MONTH(B335)=10, MONTH(B335)=11), "Fall"
)</f>
        <v>Fall</v>
      </c>
    </row>
    <row r="336" spans="1:11">
      <c r="A336">
        <v>335</v>
      </c>
      <c r="B336" s="1">
        <v>44961</v>
      </c>
      <c r="C336" t="s">
        <v>348</v>
      </c>
      <c r="D336" t="s">
        <v>13</v>
      </c>
      <c r="E336" s="2">
        <v>47</v>
      </c>
      <c r="F336" t="s">
        <v>11</v>
      </c>
      <c r="G336" s="2">
        <v>4</v>
      </c>
      <c r="H336" s="3">
        <v>30</v>
      </c>
      <c r="I336" s="3">
        <v>120</v>
      </c>
      <c r="J336" s="2" t="str">
        <f t="shared" si="5"/>
        <v>45–54</v>
      </c>
      <c r="K336" t="str" cm="1">
        <f t="array" ref="K336">_xlfn.IFS(
  OR(MONTH(B336)=12, MONTH(B336)=1, MONTH(B336)=2), "Winter",
  OR(MONTH(B336)=3, MONTH(B336)=4, MONTH(B336)=5), "Spring",
  OR(MONTH(B336)=6, MONTH(B336)=7, MONTH(B336)=8), "Summer",
  OR(MONTH(B336)=9, MONTH(B336)=10, MONTH(B336)=11), "Fall"
)</f>
        <v>Winter</v>
      </c>
    </row>
    <row r="337" spans="1:11">
      <c r="A337">
        <v>336</v>
      </c>
      <c r="B337" s="1">
        <v>45272</v>
      </c>
      <c r="C337" t="s">
        <v>349</v>
      </c>
      <c r="D337" t="s">
        <v>13</v>
      </c>
      <c r="E337" s="2">
        <v>52</v>
      </c>
      <c r="F337" t="s">
        <v>11</v>
      </c>
      <c r="G337" s="2">
        <v>3</v>
      </c>
      <c r="H337" s="3">
        <v>50</v>
      </c>
      <c r="I337" s="3">
        <v>150</v>
      </c>
      <c r="J337" s="2" t="str">
        <f t="shared" si="5"/>
        <v>45–54</v>
      </c>
      <c r="K337" t="str" cm="1">
        <f t="array" ref="K337">_xlfn.IFS(
  OR(MONTH(B337)=12, MONTH(B337)=1, MONTH(B337)=2), "Winter",
  OR(MONTH(B337)=3, MONTH(B337)=4, MONTH(B337)=5), "Spring",
  OR(MONTH(B337)=6, MONTH(B337)=7, MONTH(B337)=8), "Summer",
  OR(MONTH(B337)=9, MONTH(B337)=10, MONTH(B337)=11), "Fall"
)</f>
        <v>Winter</v>
      </c>
    </row>
    <row r="338" spans="1:11">
      <c r="A338">
        <v>337</v>
      </c>
      <c r="B338" s="1">
        <v>45047</v>
      </c>
      <c r="C338" t="s">
        <v>350</v>
      </c>
      <c r="D338" t="s">
        <v>10</v>
      </c>
      <c r="E338" s="2">
        <v>38</v>
      </c>
      <c r="F338" t="s">
        <v>14</v>
      </c>
      <c r="G338" s="2">
        <v>1</v>
      </c>
      <c r="H338" s="3">
        <v>500</v>
      </c>
      <c r="I338" s="3">
        <v>500</v>
      </c>
      <c r="J338" s="2" t="str">
        <f t="shared" si="5"/>
        <v>35–44</v>
      </c>
      <c r="K338" t="str" cm="1">
        <f t="array" ref="K338">_xlfn.IFS(
  OR(MONTH(B338)=12, MONTH(B338)=1, MONTH(B338)=2), "Winter",
  OR(MONTH(B338)=3, MONTH(B338)=4, MONTH(B338)=5), "Spring",
  OR(MONTH(B338)=6, MONTH(B338)=7, MONTH(B338)=8), "Summer",
  OR(MONTH(B338)=9, MONTH(B338)=10, MONTH(B338)=11), "Fall"
)</f>
        <v>Spring</v>
      </c>
    </row>
    <row r="339" spans="1:11">
      <c r="A339">
        <v>338</v>
      </c>
      <c r="B339" s="1">
        <v>45133</v>
      </c>
      <c r="C339" t="s">
        <v>351</v>
      </c>
      <c r="D339" t="s">
        <v>10</v>
      </c>
      <c r="E339" s="2">
        <v>54</v>
      </c>
      <c r="F339" t="s">
        <v>11</v>
      </c>
      <c r="G339" s="2">
        <v>2</v>
      </c>
      <c r="H339" s="3">
        <v>50</v>
      </c>
      <c r="I339" s="3">
        <v>100</v>
      </c>
      <c r="J339" s="2" t="str">
        <f t="shared" si="5"/>
        <v>45–54</v>
      </c>
      <c r="K339" t="str" cm="1">
        <f t="array" ref="K339">_xlfn.IFS(
  OR(MONTH(B339)=12, MONTH(B339)=1, MONTH(B339)=2), "Winter",
  OR(MONTH(B339)=3, MONTH(B339)=4, MONTH(B339)=5), "Spring",
  OR(MONTH(B339)=6, MONTH(B339)=7, MONTH(B339)=8), "Summer",
  OR(MONTH(B339)=9, MONTH(B339)=10, MONTH(B339)=11), "Fall"
)</f>
        <v>Summer</v>
      </c>
    </row>
    <row r="340" spans="1:11">
      <c r="A340">
        <v>339</v>
      </c>
      <c r="B340" s="1">
        <v>44988</v>
      </c>
      <c r="C340" t="s">
        <v>352</v>
      </c>
      <c r="D340" t="s">
        <v>13</v>
      </c>
      <c r="E340" s="2">
        <v>22</v>
      </c>
      <c r="F340" t="s">
        <v>16</v>
      </c>
      <c r="G340" s="2">
        <v>2</v>
      </c>
      <c r="H340" s="3">
        <v>25</v>
      </c>
      <c r="I340" s="3">
        <v>50</v>
      </c>
      <c r="J340" s="2" t="str">
        <f t="shared" si="5"/>
        <v>18–24</v>
      </c>
      <c r="K340" t="str" cm="1">
        <f t="array" ref="K340">_xlfn.IFS(
  OR(MONTH(B340)=12, MONTH(B340)=1, MONTH(B340)=2), "Winter",
  OR(MONTH(B340)=3, MONTH(B340)=4, MONTH(B340)=5), "Spring",
  OR(MONTH(B340)=6, MONTH(B340)=7, MONTH(B340)=8), "Summer",
  OR(MONTH(B340)=9, MONTH(B340)=10, MONTH(B340)=11), "Fall"
)</f>
        <v>Spring</v>
      </c>
    </row>
    <row r="341" spans="1:11">
      <c r="A341">
        <v>340</v>
      </c>
      <c r="B341" s="1">
        <v>45218</v>
      </c>
      <c r="C341" t="s">
        <v>353</v>
      </c>
      <c r="D341" t="s">
        <v>13</v>
      </c>
      <c r="E341" s="2">
        <v>36</v>
      </c>
      <c r="F341" t="s">
        <v>14</v>
      </c>
      <c r="G341" s="2">
        <v>4</v>
      </c>
      <c r="H341" s="3">
        <v>300</v>
      </c>
      <c r="I341" s="3">
        <v>1200</v>
      </c>
      <c r="J341" s="2" t="str">
        <f t="shared" si="5"/>
        <v>35–44</v>
      </c>
      <c r="K341" t="str" cm="1">
        <f t="array" ref="K341">_xlfn.IFS(
  OR(MONTH(B341)=12, MONTH(B341)=1, MONTH(B341)=2), "Winter",
  OR(MONTH(B341)=3, MONTH(B341)=4, MONTH(B341)=5), "Spring",
  OR(MONTH(B341)=6, MONTH(B341)=7, MONTH(B341)=8), "Summer",
  OR(MONTH(B341)=9, MONTH(B341)=10, MONTH(B341)=11), "Fall"
)</f>
        <v>Fall</v>
      </c>
    </row>
    <row r="342" spans="1:11">
      <c r="A342">
        <v>341</v>
      </c>
      <c r="B342" s="1">
        <v>45053</v>
      </c>
      <c r="C342" t="s">
        <v>354</v>
      </c>
      <c r="D342" t="s">
        <v>10</v>
      </c>
      <c r="E342" s="2">
        <v>31</v>
      </c>
      <c r="F342" t="s">
        <v>14</v>
      </c>
      <c r="G342" s="2">
        <v>4</v>
      </c>
      <c r="H342" s="3">
        <v>50</v>
      </c>
      <c r="I342" s="3">
        <v>200</v>
      </c>
      <c r="J342" s="2" t="str">
        <f t="shared" si="5"/>
        <v>25–34</v>
      </c>
      <c r="K342" t="str" cm="1">
        <f t="array" ref="K342">_xlfn.IFS(
  OR(MONTH(B342)=12, MONTH(B342)=1, MONTH(B342)=2), "Winter",
  OR(MONTH(B342)=3, MONTH(B342)=4, MONTH(B342)=5), "Spring",
  OR(MONTH(B342)=6, MONTH(B342)=7, MONTH(B342)=8), "Summer",
  OR(MONTH(B342)=9, MONTH(B342)=10, MONTH(B342)=11), "Fall"
)</f>
        <v>Spring</v>
      </c>
    </row>
    <row r="343" spans="1:11">
      <c r="A343">
        <v>342</v>
      </c>
      <c r="B343" s="1">
        <v>45223</v>
      </c>
      <c r="C343" t="s">
        <v>355</v>
      </c>
      <c r="D343" t="s">
        <v>13</v>
      </c>
      <c r="E343" s="2">
        <v>43</v>
      </c>
      <c r="F343" t="s">
        <v>14</v>
      </c>
      <c r="G343" s="2">
        <v>4</v>
      </c>
      <c r="H343" s="3">
        <v>500</v>
      </c>
      <c r="I343" s="3">
        <v>2000</v>
      </c>
      <c r="J343" s="2" t="str">
        <f t="shared" si="5"/>
        <v>35–44</v>
      </c>
      <c r="K343" t="str" cm="1">
        <f t="array" ref="K343">_xlfn.IFS(
  OR(MONTH(B343)=12, MONTH(B343)=1, MONTH(B343)=2), "Winter",
  OR(MONTH(B343)=3, MONTH(B343)=4, MONTH(B343)=5), "Spring",
  OR(MONTH(B343)=6, MONTH(B343)=7, MONTH(B343)=8), "Summer",
  OR(MONTH(B343)=9, MONTH(B343)=10, MONTH(B343)=11), "Fall"
)</f>
        <v>Fall</v>
      </c>
    </row>
    <row r="344" spans="1:11">
      <c r="A344">
        <v>343</v>
      </c>
      <c r="B344" s="1">
        <v>45231</v>
      </c>
      <c r="C344" t="s">
        <v>356</v>
      </c>
      <c r="D344" t="s">
        <v>10</v>
      </c>
      <c r="E344" s="2">
        <v>21</v>
      </c>
      <c r="F344" t="s">
        <v>16</v>
      </c>
      <c r="G344" s="2">
        <v>2</v>
      </c>
      <c r="H344" s="3">
        <v>25</v>
      </c>
      <c r="I344" s="3">
        <v>50</v>
      </c>
      <c r="J344" s="2" t="str">
        <f t="shared" si="5"/>
        <v>18–24</v>
      </c>
      <c r="K344" t="str" cm="1">
        <f t="array" ref="K344">_xlfn.IFS(
  OR(MONTH(B344)=12, MONTH(B344)=1, MONTH(B344)=2), "Winter",
  OR(MONTH(B344)=3, MONTH(B344)=4, MONTH(B344)=5), "Spring",
  OR(MONTH(B344)=6, MONTH(B344)=7, MONTH(B344)=8), "Summer",
  OR(MONTH(B344)=9, MONTH(B344)=10, MONTH(B344)=11), "Fall"
)</f>
        <v>Fall</v>
      </c>
    </row>
    <row r="345" spans="1:11">
      <c r="A345">
        <v>344</v>
      </c>
      <c r="B345" s="1">
        <v>44947</v>
      </c>
      <c r="C345" t="s">
        <v>357</v>
      </c>
      <c r="D345" t="s">
        <v>13</v>
      </c>
      <c r="E345" s="2">
        <v>42</v>
      </c>
      <c r="F345" t="s">
        <v>11</v>
      </c>
      <c r="G345" s="2">
        <v>1</v>
      </c>
      <c r="H345" s="3">
        <v>30</v>
      </c>
      <c r="I345" s="3">
        <v>30</v>
      </c>
      <c r="J345" s="2" t="str">
        <f t="shared" si="5"/>
        <v>35–44</v>
      </c>
      <c r="K345" t="str" cm="1">
        <f t="array" ref="K345">_xlfn.IFS(
  OR(MONTH(B345)=12, MONTH(B345)=1, MONTH(B345)=2), "Winter",
  OR(MONTH(B345)=3, MONTH(B345)=4, MONTH(B345)=5), "Spring",
  OR(MONTH(B345)=6, MONTH(B345)=7, MONTH(B345)=8), "Summer",
  OR(MONTH(B345)=9, MONTH(B345)=10, MONTH(B345)=11), "Fall"
)</f>
        <v>Winter</v>
      </c>
    </row>
    <row r="346" spans="1:11">
      <c r="A346">
        <v>345</v>
      </c>
      <c r="B346" s="1">
        <v>45244</v>
      </c>
      <c r="C346" t="s">
        <v>358</v>
      </c>
      <c r="D346" t="s">
        <v>10</v>
      </c>
      <c r="E346" s="2">
        <v>62</v>
      </c>
      <c r="F346" t="s">
        <v>16</v>
      </c>
      <c r="G346" s="2">
        <v>1</v>
      </c>
      <c r="H346" s="3">
        <v>30</v>
      </c>
      <c r="I346" s="3">
        <v>30</v>
      </c>
      <c r="J346" s="2" t="str">
        <f t="shared" si="5"/>
        <v>55–64</v>
      </c>
      <c r="K346" t="str" cm="1">
        <f t="array" ref="K346">_xlfn.IFS(
  OR(MONTH(B346)=12, MONTH(B346)=1, MONTH(B346)=2), "Winter",
  OR(MONTH(B346)=3, MONTH(B346)=4, MONTH(B346)=5), "Spring",
  OR(MONTH(B346)=6, MONTH(B346)=7, MONTH(B346)=8), "Summer",
  OR(MONTH(B346)=9, MONTH(B346)=10, MONTH(B346)=11), "Fall"
)</f>
        <v>Fall</v>
      </c>
    </row>
    <row r="347" spans="1:11">
      <c r="A347">
        <v>346</v>
      </c>
      <c r="B347" s="1">
        <v>44968</v>
      </c>
      <c r="C347" t="s">
        <v>359</v>
      </c>
      <c r="D347" t="s">
        <v>10</v>
      </c>
      <c r="E347" s="2">
        <v>59</v>
      </c>
      <c r="F347" t="s">
        <v>14</v>
      </c>
      <c r="G347" s="2">
        <v>2</v>
      </c>
      <c r="H347" s="3">
        <v>500</v>
      </c>
      <c r="I347" s="3">
        <v>1000</v>
      </c>
      <c r="J347" s="2" t="str">
        <f t="shared" si="5"/>
        <v>55–64</v>
      </c>
      <c r="K347" t="str" cm="1">
        <f t="array" ref="K347">_xlfn.IFS(
  OR(MONTH(B347)=12, MONTH(B347)=1, MONTH(B347)=2), "Winter",
  OR(MONTH(B347)=3, MONTH(B347)=4, MONTH(B347)=5), "Spring",
  OR(MONTH(B347)=6, MONTH(B347)=7, MONTH(B347)=8), "Summer",
  OR(MONTH(B347)=9, MONTH(B347)=10, MONTH(B347)=11), "Fall"
)</f>
        <v>Winter</v>
      </c>
    </row>
    <row r="348" spans="1:11">
      <c r="A348">
        <v>347</v>
      </c>
      <c r="B348" s="1">
        <v>45141</v>
      </c>
      <c r="C348" t="s">
        <v>360</v>
      </c>
      <c r="D348" t="s">
        <v>10</v>
      </c>
      <c r="E348" s="2">
        <v>42</v>
      </c>
      <c r="F348" t="s">
        <v>16</v>
      </c>
      <c r="G348" s="2">
        <v>1</v>
      </c>
      <c r="H348" s="3">
        <v>25</v>
      </c>
      <c r="I348" s="3">
        <v>25</v>
      </c>
      <c r="J348" s="2" t="str">
        <f t="shared" si="5"/>
        <v>35–44</v>
      </c>
      <c r="K348" t="str" cm="1">
        <f t="array" ref="K348">_xlfn.IFS(
  OR(MONTH(B348)=12, MONTH(B348)=1, MONTH(B348)=2), "Winter",
  OR(MONTH(B348)=3, MONTH(B348)=4, MONTH(B348)=5), "Spring",
  OR(MONTH(B348)=6, MONTH(B348)=7, MONTH(B348)=8), "Summer",
  OR(MONTH(B348)=9, MONTH(B348)=10, MONTH(B348)=11), "Fall"
)</f>
        <v>Summer</v>
      </c>
    </row>
    <row r="349" spans="1:11">
      <c r="A349">
        <v>348</v>
      </c>
      <c r="B349" s="1">
        <v>45263</v>
      </c>
      <c r="C349" t="s">
        <v>361</v>
      </c>
      <c r="D349" t="s">
        <v>13</v>
      </c>
      <c r="E349" s="2">
        <v>35</v>
      </c>
      <c r="F349" t="s">
        <v>16</v>
      </c>
      <c r="G349" s="2">
        <v>2</v>
      </c>
      <c r="H349" s="3">
        <v>300</v>
      </c>
      <c r="I349" s="3">
        <v>600</v>
      </c>
      <c r="J349" s="2" t="str">
        <f t="shared" si="5"/>
        <v>35–44</v>
      </c>
      <c r="K349" t="str" cm="1">
        <f t="array" ref="K349">_xlfn.IFS(
  OR(MONTH(B349)=12, MONTH(B349)=1, MONTH(B349)=2), "Winter",
  OR(MONTH(B349)=3, MONTH(B349)=4, MONTH(B349)=5), "Spring",
  OR(MONTH(B349)=6, MONTH(B349)=7, MONTH(B349)=8), "Summer",
  OR(MONTH(B349)=9, MONTH(B349)=10, MONTH(B349)=11), "Fall"
)</f>
        <v>Winter</v>
      </c>
    </row>
    <row r="350" spans="1:11">
      <c r="A350">
        <v>349</v>
      </c>
      <c r="B350" s="1">
        <v>45225</v>
      </c>
      <c r="C350" t="s">
        <v>362</v>
      </c>
      <c r="D350" t="s">
        <v>13</v>
      </c>
      <c r="E350" s="2">
        <v>57</v>
      </c>
      <c r="F350" t="s">
        <v>11</v>
      </c>
      <c r="G350" s="2">
        <v>1</v>
      </c>
      <c r="H350" s="3">
        <v>50</v>
      </c>
      <c r="I350" s="3">
        <v>50</v>
      </c>
      <c r="J350" s="2" t="str">
        <f t="shared" si="5"/>
        <v>55–64</v>
      </c>
      <c r="K350" t="str" cm="1">
        <f t="array" ref="K350">_xlfn.IFS(
  OR(MONTH(B350)=12, MONTH(B350)=1, MONTH(B350)=2), "Winter",
  OR(MONTH(B350)=3, MONTH(B350)=4, MONTH(B350)=5), "Spring",
  OR(MONTH(B350)=6, MONTH(B350)=7, MONTH(B350)=8), "Summer",
  OR(MONTH(B350)=9, MONTH(B350)=10, MONTH(B350)=11), "Fall"
)</f>
        <v>Fall</v>
      </c>
    </row>
    <row r="351" spans="1:11">
      <c r="A351">
        <v>350</v>
      </c>
      <c r="B351" s="1">
        <v>45216</v>
      </c>
      <c r="C351" t="s">
        <v>363</v>
      </c>
      <c r="D351" t="s">
        <v>10</v>
      </c>
      <c r="E351" s="2">
        <v>25</v>
      </c>
      <c r="F351" t="s">
        <v>11</v>
      </c>
      <c r="G351" s="2">
        <v>3</v>
      </c>
      <c r="H351" s="3">
        <v>25</v>
      </c>
      <c r="I351" s="3">
        <v>75</v>
      </c>
      <c r="J351" s="2" t="str">
        <f t="shared" si="5"/>
        <v>25–34</v>
      </c>
      <c r="K351" t="str" cm="1">
        <f t="array" ref="K351">_xlfn.IFS(
  OR(MONTH(B351)=12, MONTH(B351)=1, MONTH(B351)=2), "Winter",
  OR(MONTH(B351)=3, MONTH(B351)=4, MONTH(B351)=5), "Spring",
  OR(MONTH(B351)=6, MONTH(B351)=7, MONTH(B351)=8), "Summer",
  OR(MONTH(B351)=9, MONTH(B351)=10, MONTH(B351)=11), "Fall"
)</f>
        <v>Fall</v>
      </c>
    </row>
    <row r="352" spans="1:11">
      <c r="A352">
        <v>351</v>
      </c>
      <c r="B352" s="1">
        <v>45194</v>
      </c>
      <c r="C352" t="s">
        <v>364</v>
      </c>
      <c r="D352" t="s">
        <v>13</v>
      </c>
      <c r="E352" s="2">
        <v>56</v>
      </c>
      <c r="F352" t="s">
        <v>14</v>
      </c>
      <c r="G352" s="2">
        <v>3</v>
      </c>
      <c r="H352" s="3">
        <v>30</v>
      </c>
      <c r="I352" s="3">
        <v>90</v>
      </c>
      <c r="J352" s="2" t="str">
        <f t="shared" si="5"/>
        <v>55–64</v>
      </c>
      <c r="K352" t="str" cm="1">
        <f t="array" ref="K352">_xlfn.IFS(
  OR(MONTH(B352)=12, MONTH(B352)=1, MONTH(B352)=2), "Winter",
  OR(MONTH(B352)=3, MONTH(B352)=4, MONTH(B352)=5), "Spring",
  OR(MONTH(B352)=6, MONTH(B352)=7, MONTH(B352)=8), "Summer",
  OR(MONTH(B352)=9, MONTH(B352)=10, MONTH(B352)=11), "Fall"
)</f>
        <v>Fall</v>
      </c>
    </row>
    <row r="353" spans="1:11">
      <c r="A353">
        <v>352</v>
      </c>
      <c r="B353" s="1">
        <v>45088</v>
      </c>
      <c r="C353" t="s">
        <v>365</v>
      </c>
      <c r="D353" t="s">
        <v>10</v>
      </c>
      <c r="E353" s="2">
        <v>57</v>
      </c>
      <c r="F353" t="s">
        <v>16</v>
      </c>
      <c r="G353" s="2">
        <v>2</v>
      </c>
      <c r="H353" s="3">
        <v>500</v>
      </c>
      <c r="I353" s="3">
        <v>1000</v>
      </c>
      <c r="J353" s="2" t="str">
        <f t="shared" si="5"/>
        <v>55–64</v>
      </c>
      <c r="K353" t="str" cm="1">
        <f t="array" ref="K353">_xlfn.IFS(
  OR(MONTH(B353)=12, MONTH(B353)=1, MONTH(B353)=2), "Winter",
  OR(MONTH(B353)=3, MONTH(B353)=4, MONTH(B353)=5), "Spring",
  OR(MONTH(B353)=6, MONTH(B353)=7, MONTH(B353)=8), "Summer",
  OR(MONTH(B353)=9, MONTH(B353)=10, MONTH(B353)=11), "Fall"
)</f>
        <v>Summer</v>
      </c>
    </row>
    <row r="354" spans="1:11">
      <c r="A354">
        <v>353</v>
      </c>
      <c r="B354" s="1">
        <v>45060</v>
      </c>
      <c r="C354" t="s">
        <v>366</v>
      </c>
      <c r="D354" t="s">
        <v>10</v>
      </c>
      <c r="E354" s="2">
        <v>31</v>
      </c>
      <c r="F354" t="s">
        <v>16</v>
      </c>
      <c r="G354" s="2">
        <v>1</v>
      </c>
      <c r="H354" s="3">
        <v>500</v>
      </c>
      <c r="I354" s="3">
        <v>500</v>
      </c>
      <c r="J354" s="2" t="str">
        <f t="shared" si="5"/>
        <v>25–34</v>
      </c>
      <c r="K354" t="str" cm="1">
        <f t="array" ref="K354">_xlfn.IFS(
  OR(MONTH(B354)=12, MONTH(B354)=1, MONTH(B354)=2), "Winter",
  OR(MONTH(B354)=3, MONTH(B354)=4, MONTH(B354)=5), "Spring",
  OR(MONTH(B354)=6, MONTH(B354)=7, MONTH(B354)=8), "Summer",
  OR(MONTH(B354)=9, MONTH(B354)=10, MONTH(B354)=11), "Fall"
)</f>
        <v>Spring</v>
      </c>
    </row>
    <row r="355" spans="1:11">
      <c r="A355">
        <v>354</v>
      </c>
      <c r="B355" s="1">
        <v>45031</v>
      </c>
      <c r="C355" t="s">
        <v>367</v>
      </c>
      <c r="D355" t="s">
        <v>13</v>
      </c>
      <c r="E355" s="2">
        <v>49</v>
      </c>
      <c r="F355" t="s">
        <v>11</v>
      </c>
      <c r="G355" s="2">
        <v>4</v>
      </c>
      <c r="H355" s="3">
        <v>50</v>
      </c>
      <c r="I355" s="3">
        <v>200</v>
      </c>
      <c r="J355" s="2" t="str">
        <f t="shared" si="5"/>
        <v>45–54</v>
      </c>
      <c r="K355" t="str" cm="1">
        <f t="array" ref="K355">_xlfn.IFS(
  OR(MONTH(B355)=12, MONTH(B355)=1, MONTH(B355)=2), "Winter",
  OR(MONTH(B355)=3, MONTH(B355)=4, MONTH(B355)=5), "Spring",
  OR(MONTH(B355)=6, MONTH(B355)=7, MONTH(B355)=8), "Summer",
  OR(MONTH(B355)=9, MONTH(B355)=10, MONTH(B355)=11), "Fall"
)</f>
        <v>Spring</v>
      </c>
    </row>
    <row r="356" spans="1:11">
      <c r="A356">
        <v>355</v>
      </c>
      <c r="B356" s="1">
        <v>45269</v>
      </c>
      <c r="C356" t="s">
        <v>368</v>
      </c>
      <c r="D356" t="s">
        <v>13</v>
      </c>
      <c r="E356" s="2">
        <v>55</v>
      </c>
      <c r="F356" t="s">
        <v>16</v>
      </c>
      <c r="G356" s="2">
        <v>1</v>
      </c>
      <c r="H356" s="3">
        <v>500</v>
      </c>
      <c r="I356" s="3">
        <v>500</v>
      </c>
      <c r="J356" s="2" t="str">
        <f t="shared" si="5"/>
        <v>55–64</v>
      </c>
      <c r="K356" t="str" cm="1">
        <f t="array" ref="K356">_xlfn.IFS(
  OR(MONTH(B356)=12, MONTH(B356)=1, MONTH(B356)=2), "Winter",
  OR(MONTH(B356)=3, MONTH(B356)=4, MONTH(B356)=5), "Spring",
  OR(MONTH(B356)=6, MONTH(B356)=7, MONTH(B356)=8), "Summer",
  OR(MONTH(B356)=9, MONTH(B356)=10, MONTH(B356)=11), "Fall"
)</f>
        <v>Winter</v>
      </c>
    </row>
    <row r="357" spans="1:11">
      <c r="A357">
        <v>356</v>
      </c>
      <c r="B357" s="1">
        <v>45087</v>
      </c>
      <c r="C357" t="s">
        <v>369</v>
      </c>
      <c r="D357" t="s">
        <v>10</v>
      </c>
      <c r="E357" s="2">
        <v>50</v>
      </c>
      <c r="F357" t="s">
        <v>16</v>
      </c>
      <c r="G357" s="2">
        <v>3</v>
      </c>
      <c r="H357" s="3">
        <v>500</v>
      </c>
      <c r="I357" s="3">
        <v>1500</v>
      </c>
      <c r="J357" s="2" t="str">
        <f t="shared" si="5"/>
        <v>45–54</v>
      </c>
      <c r="K357" t="str" cm="1">
        <f t="array" ref="K357">_xlfn.IFS(
  OR(MONTH(B357)=12, MONTH(B357)=1, MONTH(B357)=2), "Winter",
  OR(MONTH(B357)=3, MONTH(B357)=4, MONTH(B357)=5), "Spring",
  OR(MONTH(B357)=6, MONTH(B357)=7, MONTH(B357)=8), "Summer",
  OR(MONTH(B357)=9, MONTH(B357)=10, MONTH(B357)=11), "Fall"
)</f>
        <v>Summer</v>
      </c>
    </row>
    <row r="358" spans="1:11">
      <c r="A358">
        <v>357</v>
      </c>
      <c r="B358" s="1">
        <v>45049</v>
      </c>
      <c r="C358" t="s">
        <v>370</v>
      </c>
      <c r="D358" t="s">
        <v>13</v>
      </c>
      <c r="E358" s="2">
        <v>40</v>
      </c>
      <c r="F358" t="s">
        <v>16</v>
      </c>
      <c r="G358" s="2">
        <v>3</v>
      </c>
      <c r="H358" s="3">
        <v>25</v>
      </c>
      <c r="I358" s="3">
        <v>75</v>
      </c>
      <c r="J358" s="2" t="str">
        <f t="shared" si="5"/>
        <v>35–44</v>
      </c>
      <c r="K358" t="str" cm="1">
        <f t="array" ref="K358">_xlfn.IFS(
  OR(MONTH(B358)=12, MONTH(B358)=1, MONTH(B358)=2), "Winter",
  OR(MONTH(B358)=3, MONTH(B358)=4, MONTH(B358)=5), "Spring",
  OR(MONTH(B358)=6, MONTH(B358)=7, MONTH(B358)=8), "Summer",
  OR(MONTH(B358)=9, MONTH(B358)=10, MONTH(B358)=11), "Fall"
)</f>
        <v>Spring</v>
      </c>
    </row>
    <row r="359" spans="1:11">
      <c r="A359">
        <v>358</v>
      </c>
      <c r="B359" s="1">
        <v>45062</v>
      </c>
      <c r="C359" t="s">
        <v>371</v>
      </c>
      <c r="D359" t="s">
        <v>13</v>
      </c>
      <c r="E359" s="2">
        <v>32</v>
      </c>
      <c r="F359" t="s">
        <v>11</v>
      </c>
      <c r="G359" s="2">
        <v>1</v>
      </c>
      <c r="H359" s="3">
        <v>300</v>
      </c>
      <c r="I359" s="3">
        <v>300</v>
      </c>
      <c r="J359" s="2" t="str">
        <f t="shared" si="5"/>
        <v>25–34</v>
      </c>
      <c r="K359" t="str" cm="1">
        <f t="array" ref="K359">_xlfn.IFS(
  OR(MONTH(B359)=12, MONTH(B359)=1, MONTH(B359)=2), "Winter",
  OR(MONTH(B359)=3, MONTH(B359)=4, MONTH(B359)=5), "Spring",
  OR(MONTH(B359)=6, MONTH(B359)=7, MONTH(B359)=8), "Summer",
  OR(MONTH(B359)=9, MONTH(B359)=10, MONTH(B359)=11), "Fall"
)</f>
        <v>Spring</v>
      </c>
    </row>
    <row r="360" spans="1:11">
      <c r="A360">
        <v>359</v>
      </c>
      <c r="B360" s="1">
        <v>45129</v>
      </c>
      <c r="C360" t="s">
        <v>372</v>
      </c>
      <c r="D360" t="s">
        <v>10</v>
      </c>
      <c r="E360" s="2">
        <v>50</v>
      </c>
      <c r="F360" t="s">
        <v>14</v>
      </c>
      <c r="G360" s="2">
        <v>1</v>
      </c>
      <c r="H360" s="3">
        <v>50</v>
      </c>
      <c r="I360" s="3">
        <v>50</v>
      </c>
      <c r="J360" s="2" t="str">
        <f t="shared" si="5"/>
        <v>45–54</v>
      </c>
      <c r="K360" t="str" cm="1">
        <f t="array" ref="K360">_xlfn.IFS(
  OR(MONTH(B360)=12, MONTH(B360)=1, MONTH(B360)=2), "Winter",
  OR(MONTH(B360)=3, MONTH(B360)=4, MONTH(B360)=5), "Spring",
  OR(MONTH(B360)=6, MONTH(B360)=7, MONTH(B360)=8), "Summer",
  OR(MONTH(B360)=9, MONTH(B360)=10, MONTH(B360)=11), "Fall"
)</f>
        <v>Summer</v>
      </c>
    </row>
    <row r="361" spans="1:11">
      <c r="A361">
        <v>360</v>
      </c>
      <c r="B361" s="1">
        <v>44994</v>
      </c>
      <c r="C361" t="s">
        <v>373</v>
      </c>
      <c r="D361" t="s">
        <v>10</v>
      </c>
      <c r="E361" s="2">
        <v>42</v>
      </c>
      <c r="F361" t="s">
        <v>14</v>
      </c>
      <c r="G361" s="2">
        <v>4</v>
      </c>
      <c r="H361" s="3">
        <v>25</v>
      </c>
      <c r="I361" s="3">
        <v>100</v>
      </c>
      <c r="J361" s="2" t="str">
        <f t="shared" si="5"/>
        <v>35–44</v>
      </c>
      <c r="K361" t="str" cm="1">
        <f t="array" ref="K361">_xlfn.IFS(
  OR(MONTH(B361)=12, MONTH(B361)=1, MONTH(B361)=2), "Winter",
  OR(MONTH(B361)=3, MONTH(B361)=4, MONTH(B361)=5), "Spring",
  OR(MONTH(B361)=6, MONTH(B361)=7, MONTH(B361)=8), "Summer",
  OR(MONTH(B361)=9, MONTH(B361)=10, MONTH(B361)=11), "Fall"
)</f>
        <v>Spring</v>
      </c>
    </row>
    <row r="362" spans="1:11">
      <c r="A362">
        <v>361</v>
      </c>
      <c r="B362" s="1">
        <v>45270</v>
      </c>
      <c r="C362" t="s">
        <v>374</v>
      </c>
      <c r="D362" t="s">
        <v>13</v>
      </c>
      <c r="E362" s="2">
        <v>34</v>
      </c>
      <c r="F362" t="s">
        <v>16</v>
      </c>
      <c r="G362" s="2">
        <v>4</v>
      </c>
      <c r="H362" s="3">
        <v>300</v>
      </c>
      <c r="I362" s="3">
        <v>1200</v>
      </c>
      <c r="J362" s="2" t="str">
        <f t="shared" si="5"/>
        <v>25–34</v>
      </c>
      <c r="K362" t="str" cm="1">
        <f t="array" ref="K362">_xlfn.IFS(
  OR(MONTH(B362)=12, MONTH(B362)=1, MONTH(B362)=2), "Winter",
  OR(MONTH(B362)=3, MONTH(B362)=4, MONTH(B362)=5), "Spring",
  OR(MONTH(B362)=6, MONTH(B362)=7, MONTH(B362)=8), "Summer",
  OR(MONTH(B362)=9, MONTH(B362)=10, MONTH(B362)=11), "Fall"
)</f>
        <v>Winter</v>
      </c>
    </row>
    <row r="363" spans="1:11">
      <c r="A363">
        <v>362</v>
      </c>
      <c r="B363" s="1">
        <v>45257</v>
      </c>
      <c r="C363" t="s">
        <v>375</v>
      </c>
      <c r="D363" t="s">
        <v>10</v>
      </c>
      <c r="E363" s="2">
        <v>50</v>
      </c>
      <c r="F363" t="s">
        <v>14</v>
      </c>
      <c r="G363" s="2">
        <v>1</v>
      </c>
      <c r="H363" s="3">
        <v>25</v>
      </c>
      <c r="I363" s="3">
        <v>25</v>
      </c>
      <c r="J363" s="2" t="str">
        <f t="shared" si="5"/>
        <v>45–54</v>
      </c>
      <c r="K363" t="str" cm="1">
        <f t="array" ref="K363">_xlfn.IFS(
  OR(MONTH(B363)=12, MONTH(B363)=1, MONTH(B363)=2), "Winter",
  OR(MONTH(B363)=3, MONTH(B363)=4, MONTH(B363)=5), "Spring",
  OR(MONTH(B363)=6, MONTH(B363)=7, MONTH(B363)=8), "Summer",
  OR(MONTH(B363)=9, MONTH(B363)=10, MONTH(B363)=11), "Fall"
)</f>
        <v>Fall</v>
      </c>
    </row>
    <row r="364" spans="1:11">
      <c r="A364">
        <v>363</v>
      </c>
      <c r="B364" s="1">
        <v>45080</v>
      </c>
      <c r="C364" t="s">
        <v>376</v>
      </c>
      <c r="D364" t="s">
        <v>10</v>
      </c>
      <c r="E364" s="2">
        <v>64</v>
      </c>
      <c r="F364" t="s">
        <v>11</v>
      </c>
      <c r="G364" s="2">
        <v>1</v>
      </c>
      <c r="H364" s="3">
        <v>25</v>
      </c>
      <c r="I364" s="3">
        <v>25</v>
      </c>
      <c r="J364" s="2" t="str">
        <f t="shared" si="5"/>
        <v>55–64</v>
      </c>
      <c r="K364" t="str" cm="1">
        <f t="array" ref="K364">_xlfn.IFS(
  OR(MONTH(B364)=12, MONTH(B364)=1, MONTH(B364)=2), "Winter",
  OR(MONTH(B364)=3, MONTH(B364)=4, MONTH(B364)=5), "Spring",
  OR(MONTH(B364)=6, MONTH(B364)=7, MONTH(B364)=8), "Summer",
  OR(MONTH(B364)=9, MONTH(B364)=10, MONTH(B364)=11), "Fall"
)</f>
        <v>Summer</v>
      </c>
    </row>
    <row r="365" spans="1:11">
      <c r="A365">
        <v>364</v>
      </c>
      <c r="B365" s="1">
        <v>45161</v>
      </c>
      <c r="C365" t="s">
        <v>377</v>
      </c>
      <c r="D365" t="s">
        <v>13</v>
      </c>
      <c r="E365" s="2">
        <v>19</v>
      </c>
      <c r="F365" t="s">
        <v>11</v>
      </c>
      <c r="G365" s="2">
        <v>1</v>
      </c>
      <c r="H365" s="3">
        <v>500</v>
      </c>
      <c r="I365" s="3">
        <v>500</v>
      </c>
      <c r="J365" s="2" t="str">
        <f t="shared" si="5"/>
        <v>18–24</v>
      </c>
      <c r="K365" t="str" cm="1">
        <f t="array" ref="K365">_xlfn.IFS(
  OR(MONTH(B365)=12, MONTH(B365)=1, MONTH(B365)=2), "Winter",
  OR(MONTH(B365)=3, MONTH(B365)=4, MONTH(B365)=5), "Spring",
  OR(MONTH(B365)=6, MONTH(B365)=7, MONTH(B365)=8), "Summer",
  OR(MONTH(B365)=9, MONTH(B365)=10, MONTH(B365)=11), "Fall"
)</f>
        <v>Summer</v>
      </c>
    </row>
    <row r="366" spans="1:11">
      <c r="A366">
        <v>365</v>
      </c>
      <c r="B366" s="1">
        <v>45088</v>
      </c>
      <c r="C366" t="s">
        <v>378</v>
      </c>
      <c r="D366" t="s">
        <v>10</v>
      </c>
      <c r="E366" s="2">
        <v>31</v>
      </c>
      <c r="F366" t="s">
        <v>14</v>
      </c>
      <c r="G366" s="2">
        <v>1</v>
      </c>
      <c r="H366" s="3">
        <v>300</v>
      </c>
      <c r="I366" s="3">
        <v>300</v>
      </c>
      <c r="J366" s="2" t="str">
        <f t="shared" si="5"/>
        <v>25–34</v>
      </c>
      <c r="K366" t="str" cm="1">
        <f t="array" ref="K366">_xlfn.IFS(
  OR(MONTH(B366)=12, MONTH(B366)=1, MONTH(B366)=2), "Winter",
  OR(MONTH(B366)=3, MONTH(B366)=4, MONTH(B366)=5), "Spring",
  OR(MONTH(B366)=6, MONTH(B366)=7, MONTH(B366)=8), "Summer",
  OR(MONTH(B366)=9, MONTH(B366)=10, MONTH(B366)=11), "Fall"
)</f>
        <v>Summer</v>
      </c>
    </row>
    <row r="367" spans="1:11">
      <c r="A367">
        <v>366</v>
      </c>
      <c r="B367" s="1">
        <v>44964</v>
      </c>
      <c r="C367" t="s">
        <v>379</v>
      </c>
      <c r="D367" t="s">
        <v>10</v>
      </c>
      <c r="E367" s="2">
        <v>57</v>
      </c>
      <c r="F367" t="s">
        <v>14</v>
      </c>
      <c r="G367" s="2">
        <v>2</v>
      </c>
      <c r="H367" s="3">
        <v>50</v>
      </c>
      <c r="I367" s="3">
        <v>100</v>
      </c>
      <c r="J367" s="2" t="str">
        <f t="shared" si="5"/>
        <v>55–64</v>
      </c>
      <c r="K367" t="str" cm="1">
        <f t="array" ref="K367">_xlfn.IFS(
  OR(MONTH(B367)=12, MONTH(B367)=1, MONTH(B367)=2), "Winter",
  OR(MONTH(B367)=3, MONTH(B367)=4, MONTH(B367)=5), "Spring",
  OR(MONTH(B367)=6, MONTH(B367)=7, MONTH(B367)=8), "Summer",
  OR(MONTH(B367)=9, MONTH(B367)=10, MONTH(B367)=11), "Fall"
)</f>
        <v>Winter</v>
      </c>
    </row>
    <row r="368" spans="1:11">
      <c r="A368">
        <v>367</v>
      </c>
      <c r="B368" s="1">
        <v>44931</v>
      </c>
      <c r="C368" t="s">
        <v>380</v>
      </c>
      <c r="D368" t="s">
        <v>13</v>
      </c>
      <c r="E368" s="2">
        <v>57</v>
      </c>
      <c r="F368" t="s">
        <v>16</v>
      </c>
      <c r="G368" s="2">
        <v>1</v>
      </c>
      <c r="H368" s="3">
        <v>50</v>
      </c>
      <c r="I368" s="3">
        <v>50</v>
      </c>
      <c r="J368" s="2" t="str">
        <f t="shared" si="5"/>
        <v>55–64</v>
      </c>
      <c r="K368" t="str" cm="1">
        <f t="array" ref="K368">_xlfn.IFS(
  OR(MONTH(B368)=12, MONTH(B368)=1, MONTH(B368)=2), "Winter",
  OR(MONTH(B368)=3, MONTH(B368)=4, MONTH(B368)=5), "Spring",
  OR(MONTH(B368)=6, MONTH(B368)=7, MONTH(B368)=8), "Summer",
  OR(MONTH(B368)=9, MONTH(B368)=10, MONTH(B368)=11), "Fall"
)</f>
        <v>Winter</v>
      </c>
    </row>
    <row r="369" spans="1:11">
      <c r="A369">
        <v>368</v>
      </c>
      <c r="B369" s="1">
        <v>45161</v>
      </c>
      <c r="C369" t="s">
        <v>381</v>
      </c>
      <c r="D369" t="s">
        <v>13</v>
      </c>
      <c r="E369" s="2">
        <v>56</v>
      </c>
      <c r="F369" t="s">
        <v>14</v>
      </c>
      <c r="G369" s="2">
        <v>4</v>
      </c>
      <c r="H369" s="3">
        <v>300</v>
      </c>
      <c r="I369" s="3">
        <v>1200</v>
      </c>
      <c r="J369" s="2" t="str">
        <f t="shared" si="5"/>
        <v>55–64</v>
      </c>
      <c r="K369" t="str" cm="1">
        <f t="array" ref="K369">_xlfn.IFS(
  OR(MONTH(B369)=12, MONTH(B369)=1, MONTH(B369)=2), "Winter",
  OR(MONTH(B369)=3, MONTH(B369)=4, MONTH(B369)=5), "Spring",
  OR(MONTH(B369)=6, MONTH(B369)=7, MONTH(B369)=8), "Summer",
  OR(MONTH(B369)=9, MONTH(B369)=10, MONTH(B369)=11), "Fall"
)</f>
        <v>Summer</v>
      </c>
    </row>
    <row r="370" spans="1:11">
      <c r="A370">
        <v>369</v>
      </c>
      <c r="B370" s="1">
        <v>45245</v>
      </c>
      <c r="C370" t="s">
        <v>382</v>
      </c>
      <c r="D370" t="s">
        <v>10</v>
      </c>
      <c r="E370" s="2">
        <v>23</v>
      </c>
      <c r="F370" t="s">
        <v>16</v>
      </c>
      <c r="G370" s="2">
        <v>3</v>
      </c>
      <c r="H370" s="3">
        <v>500</v>
      </c>
      <c r="I370" s="3">
        <v>1500</v>
      </c>
      <c r="J370" s="2" t="str">
        <f t="shared" si="5"/>
        <v>18–24</v>
      </c>
      <c r="K370" t="str" cm="1">
        <f t="array" ref="K370">_xlfn.IFS(
  OR(MONTH(B370)=12, MONTH(B370)=1, MONTH(B370)=2), "Winter",
  OR(MONTH(B370)=3, MONTH(B370)=4, MONTH(B370)=5), "Spring",
  OR(MONTH(B370)=6, MONTH(B370)=7, MONTH(B370)=8), "Summer",
  OR(MONTH(B370)=9, MONTH(B370)=10, MONTH(B370)=11), "Fall"
)</f>
        <v>Fall</v>
      </c>
    </row>
    <row r="371" spans="1:11">
      <c r="A371">
        <v>370</v>
      </c>
      <c r="B371" s="1">
        <v>45215</v>
      </c>
      <c r="C371" t="s">
        <v>383</v>
      </c>
      <c r="D371" t="s">
        <v>10</v>
      </c>
      <c r="E371" s="2">
        <v>23</v>
      </c>
      <c r="F371" t="s">
        <v>16</v>
      </c>
      <c r="G371" s="2">
        <v>2</v>
      </c>
      <c r="H371" s="3">
        <v>30</v>
      </c>
      <c r="I371" s="3">
        <v>60</v>
      </c>
      <c r="J371" s="2" t="str">
        <f t="shared" si="5"/>
        <v>18–24</v>
      </c>
      <c r="K371" t="str" cm="1">
        <f t="array" ref="K371">_xlfn.IFS(
  OR(MONTH(B371)=12, MONTH(B371)=1, MONTH(B371)=2), "Winter",
  OR(MONTH(B371)=3, MONTH(B371)=4, MONTH(B371)=5), "Spring",
  OR(MONTH(B371)=6, MONTH(B371)=7, MONTH(B371)=8), "Summer",
  OR(MONTH(B371)=9, MONTH(B371)=10, MONTH(B371)=11), "Fall"
)</f>
        <v>Fall</v>
      </c>
    </row>
    <row r="372" spans="1:11">
      <c r="A372">
        <v>371</v>
      </c>
      <c r="B372" s="1">
        <v>44978</v>
      </c>
      <c r="C372" t="s">
        <v>384</v>
      </c>
      <c r="D372" t="s">
        <v>13</v>
      </c>
      <c r="E372" s="2">
        <v>20</v>
      </c>
      <c r="F372" t="s">
        <v>11</v>
      </c>
      <c r="G372" s="2">
        <v>1</v>
      </c>
      <c r="H372" s="3">
        <v>25</v>
      </c>
      <c r="I372" s="3">
        <v>25</v>
      </c>
      <c r="J372" s="2" t="str">
        <f t="shared" si="5"/>
        <v>18–24</v>
      </c>
      <c r="K372" t="str" cm="1">
        <f t="array" ref="K372">_xlfn.IFS(
  OR(MONTH(B372)=12, MONTH(B372)=1, MONTH(B372)=2), "Winter",
  OR(MONTH(B372)=3, MONTH(B372)=4, MONTH(B372)=5), "Spring",
  OR(MONTH(B372)=6, MONTH(B372)=7, MONTH(B372)=8), "Summer",
  OR(MONTH(B372)=9, MONTH(B372)=10, MONTH(B372)=11), "Fall"
)</f>
        <v>Winter</v>
      </c>
    </row>
    <row r="373" spans="1:11">
      <c r="A373">
        <v>372</v>
      </c>
      <c r="B373" s="1">
        <v>44964</v>
      </c>
      <c r="C373" t="s">
        <v>385</v>
      </c>
      <c r="D373" t="s">
        <v>13</v>
      </c>
      <c r="E373" s="2">
        <v>24</v>
      </c>
      <c r="F373" t="s">
        <v>11</v>
      </c>
      <c r="G373" s="2">
        <v>3</v>
      </c>
      <c r="H373" s="3">
        <v>500</v>
      </c>
      <c r="I373" s="3">
        <v>1500</v>
      </c>
      <c r="J373" s="2" t="str">
        <f t="shared" si="5"/>
        <v>18–24</v>
      </c>
      <c r="K373" t="str" cm="1">
        <f t="array" ref="K373">_xlfn.IFS(
  OR(MONTH(B373)=12, MONTH(B373)=1, MONTH(B373)=2), "Winter",
  OR(MONTH(B373)=3, MONTH(B373)=4, MONTH(B373)=5), "Spring",
  OR(MONTH(B373)=6, MONTH(B373)=7, MONTH(B373)=8), "Summer",
  OR(MONTH(B373)=9, MONTH(B373)=10, MONTH(B373)=11), "Fall"
)</f>
        <v>Winter</v>
      </c>
    </row>
    <row r="374" spans="1:11">
      <c r="A374">
        <v>373</v>
      </c>
      <c r="B374" s="1">
        <v>45202</v>
      </c>
      <c r="C374" t="s">
        <v>386</v>
      </c>
      <c r="D374" t="s">
        <v>13</v>
      </c>
      <c r="E374" s="2">
        <v>25</v>
      </c>
      <c r="F374" t="s">
        <v>11</v>
      </c>
      <c r="G374" s="2">
        <v>2</v>
      </c>
      <c r="H374" s="3">
        <v>300</v>
      </c>
      <c r="I374" s="3">
        <v>600</v>
      </c>
      <c r="J374" s="2" t="str">
        <f t="shared" si="5"/>
        <v>25–34</v>
      </c>
      <c r="K374" t="str" cm="1">
        <f t="array" ref="K374">_xlfn.IFS(
  OR(MONTH(B374)=12, MONTH(B374)=1, MONTH(B374)=2), "Winter",
  OR(MONTH(B374)=3, MONTH(B374)=4, MONTH(B374)=5), "Spring",
  OR(MONTH(B374)=6, MONTH(B374)=7, MONTH(B374)=8), "Summer",
  OR(MONTH(B374)=9, MONTH(B374)=10, MONTH(B374)=11), "Fall"
)</f>
        <v>Fall</v>
      </c>
    </row>
    <row r="375" spans="1:11">
      <c r="A375">
        <v>374</v>
      </c>
      <c r="B375" s="1">
        <v>45036</v>
      </c>
      <c r="C375" t="s">
        <v>387</v>
      </c>
      <c r="D375" t="s">
        <v>13</v>
      </c>
      <c r="E375" s="2">
        <v>59</v>
      </c>
      <c r="F375" t="s">
        <v>11</v>
      </c>
      <c r="G375" s="2">
        <v>3</v>
      </c>
      <c r="H375" s="3">
        <v>25</v>
      </c>
      <c r="I375" s="3">
        <v>75</v>
      </c>
      <c r="J375" s="2" t="str">
        <f t="shared" si="5"/>
        <v>55–64</v>
      </c>
      <c r="K375" t="str" cm="1">
        <f t="array" ref="K375">_xlfn.IFS(
  OR(MONTH(B375)=12, MONTH(B375)=1, MONTH(B375)=2), "Winter",
  OR(MONTH(B375)=3, MONTH(B375)=4, MONTH(B375)=5), "Spring",
  OR(MONTH(B375)=6, MONTH(B375)=7, MONTH(B375)=8), "Summer",
  OR(MONTH(B375)=9, MONTH(B375)=10, MONTH(B375)=11), "Fall"
)</f>
        <v>Spring</v>
      </c>
    </row>
    <row r="376" spans="1:11">
      <c r="A376">
        <v>375</v>
      </c>
      <c r="B376" s="1">
        <v>45186</v>
      </c>
      <c r="C376" t="s">
        <v>388</v>
      </c>
      <c r="D376" t="s">
        <v>10</v>
      </c>
      <c r="E376" s="2">
        <v>32</v>
      </c>
      <c r="F376" t="s">
        <v>14</v>
      </c>
      <c r="G376" s="2">
        <v>1</v>
      </c>
      <c r="H376" s="3">
        <v>50</v>
      </c>
      <c r="I376" s="3">
        <v>50</v>
      </c>
      <c r="J376" s="2" t="str">
        <f t="shared" si="5"/>
        <v>25–34</v>
      </c>
      <c r="K376" t="str" cm="1">
        <f t="array" ref="K376">_xlfn.IFS(
  OR(MONTH(B376)=12, MONTH(B376)=1, MONTH(B376)=2), "Winter",
  OR(MONTH(B376)=3, MONTH(B376)=4, MONTH(B376)=5), "Spring",
  OR(MONTH(B376)=6, MONTH(B376)=7, MONTH(B376)=8), "Summer",
  OR(MONTH(B376)=9, MONTH(B376)=10, MONTH(B376)=11), "Fall"
)</f>
        <v>Fall</v>
      </c>
    </row>
    <row r="377" spans="1:11">
      <c r="A377">
        <v>376</v>
      </c>
      <c r="B377" s="1">
        <v>45062</v>
      </c>
      <c r="C377" t="s">
        <v>389</v>
      </c>
      <c r="D377" t="s">
        <v>13</v>
      </c>
      <c r="E377" s="2">
        <v>64</v>
      </c>
      <c r="F377" t="s">
        <v>11</v>
      </c>
      <c r="G377" s="2">
        <v>1</v>
      </c>
      <c r="H377" s="3">
        <v>30</v>
      </c>
      <c r="I377" s="3">
        <v>30</v>
      </c>
      <c r="J377" s="2" t="str">
        <f t="shared" si="5"/>
        <v>55–64</v>
      </c>
      <c r="K377" t="str" cm="1">
        <f t="array" ref="K377">_xlfn.IFS(
  OR(MONTH(B377)=12, MONTH(B377)=1, MONTH(B377)=2), "Winter",
  OR(MONTH(B377)=3, MONTH(B377)=4, MONTH(B377)=5), "Spring",
  OR(MONTH(B377)=6, MONTH(B377)=7, MONTH(B377)=8), "Summer",
  OR(MONTH(B377)=9, MONTH(B377)=10, MONTH(B377)=11), "Fall"
)</f>
        <v>Spring</v>
      </c>
    </row>
    <row r="378" spans="1:11">
      <c r="A378">
        <v>377</v>
      </c>
      <c r="B378" s="1">
        <v>44994</v>
      </c>
      <c r="C378" t="s">
        <v>390</v>
      </c>
      <c r="D378" t="s">
        <v>13</v>
      </c>
      <c r="E378" s="2">
        <v>46</v>
      </c>
      <c r="F378" t="s">
        <v>14</v>
      </c>
      <c r="G378" s="2">
        <v>4</v>
      </c>
      <c r="H378" s="3">
        <v>50</v>
      </c>
      <c r="I378" s="3">
        <v>200</v>
      </c>
      <c r="J378" s="2" t="str">
        <f t="shared" si="5"/>
        <v>45–54</v>
      </c>
      <c r="K378" t="str" cm="1">
        <f t="array" ref="K378">_xlfn.IFS(
  OR(MONTH(B378)=12, MONTH(B378)=1, MONTH(B378)=2), "Winter",
  OR(MONTH(B378)=3, MONTH(B378)=4, MONTH(B378)=5), "Spring",
  OR(MONTH(B378)=6, MONTH(B378)=7, MONTH(B378)=8), "Summer",
  OR(MONTH(B378)=9, MONTH(B378)=10, MONTH(B378)=11), "Fall"
)</f>
        <v>Spring</v>
      </c>
    </row>
    <row r="379" spans="1:11">
      <c r="A379">
        <v>378</v>
      </c>
      <c r="B379" s="1">
        <v>45105</v>
      </c>
      <c r="C379" t="s">
        <v>391</v>
      </c>
      <c r="D379" t="s">
        <v>10</v>
      </c>
      <c r="E379" s="2">
        <v>50</v>
      </c>
      <c r="F379" t="s">
        <v>11</v>
      </c>
      <c r="G379" s="2">
        <v>1</v>
      </c>
      <c r="H379" s="3">
        <v>300</v>
      </c>
      <c r="I379" s="3">
        <v>300</v>
      </c>
      <c r="J379" s="2" t="str">
        <f t="shared" si="5"/>
        <v>45–54</v>
      </c>
      <c r="K379" t="str" cm="1">
        <f t="array" ref="K379">_xlfn.IFS(
  OR(MONTH(B379)=12, MONTH(B379)=1, MONTH(B379)=2), "Winter",
  OR(MONTH(B379)=3, MONTH(B379)=4, MONTH(B379)=5), "Spring",
  OR(MONTH(B379)=6, MONTH(B379)=7, MONTH(B379)=8), "Summer",
  OR(MONTH(B379)=9, MONTH(B379)=10, MONTH(B379)=11), "Fall"
)</f>
        <v>Summer</v>
      </c>
    </row>
    <row r="380" spans="1:11">
      <c r="A380">
        <v>379</v>
      </c>
      <c r="B380" s="1">
        <v>44962</v>
      </c>
      <c r="C380" t="s">
        <v>392</v>
      </c>
      <c r="D380" t="s">
        <v>13</v>
      </c>
      <c r="E380" s="2">
        <v>47</v>
      </c>
      <c r="F380" t="s">
        <v>14</v>
      </c>
      <c r="G380" s="2">
        <v>1</v>
      </c>
      <c r="H380" s="3">
        <v>25</v>
      </c>
      <c r="I380" s="3">
        <v>25</v>
      </c>
      <c r="J380" s="2" t="str">
        <f t="shared" si="5"/>
        <v>45–54</v>
      </c>
      <c r="K380" t="str" cm="1">
        <f t="array" ref="K380">_xlfn.IFS(
  OR(MONTH(B380)=12, MONTH(B380)=1, MONTH(B380)=2), "Winter",
  OR(MONTH(B380)=3, MONTH(B380)=4, MONTH(B380)=5), "Spring",
  OR(MONTH(B380)=6, MONTH(B380)=7, MONTH(B380)=8), "Summer",
  OR(MONTH(B380)=9, MONTH(B380)=10, MONTH(B380)=11), "Fall"
)</f>
        <v>Winter</v>
      </c>
    </row>
    <row r="381" spans="1:11">
      <c r="A381">
        <v>380</v>
      </c>
      <c r="B381" s="1">
        <v>45052</v>
      </c>
      <c r="C381" t="s">
        <v>393</v>
      </c>
      <c r="D381" t="s">
        <v>10</v>
      </c>
      <c r="E381" s="2">
        <v>56</v>
      </c>
      <c r="F381" t="s">
        <v>16</v>
      </c>
      <c r="G381" s="2">
        <v>2</v>
      </c>
      <c r="H381" s="3">
        <v>300</v>
      </c>
      <c r="I381" s="3">
        <v>600</v>
      </c>
      <c r="J381" s="2" t="str">
        <f t="shared" si="5"/>
        <v>55–64</v>
      </c>
      <c r="K381" t="str" cm="1">
        <f t="array" ref="K381">_xlfn.IFS(
  OR(MONTH(B381)=12, MONTH(B381)=1, MONTH(B381)=2), "Winter",
  OR(MONTH(B381)=3, MONTH(B381)=4, MONTH(B381)=5), "Spring",
  OR(MONTH(B381)=6, MONTH(B381)=7, MONTH(B381)=8), "Summer",
  OR(MONTH(B381)=9, MONTH(B381)=10, MONTH(B381)=11), "Fall"
)</f>
        <v>Spring</v>
      </c>
    </row>
    <row r="382" spans="1:11">
      <c r="A382">
        <v>381</v>
      </c>
      <c r="B382" s="1">
        <v>45116</v>
      </c>
      <c r="C382" t="s">
        <v>394</v>
      </c>
      <c r="D382" t="s">
        <v>13</v>
      </c>
      <c r="E382" s="2">
        <v>44</v>
      </c>
      <c r="F382" t="s">
        <v>14</v>
      </c>
      <c r="G382" s="2">
        <v>4</v>
      </c>
      <c r="H382" s="3">
        <v>25</v>
      </c>
      <c r="I382" s="3">
        <v>100</v>
      </c>
      <c r="J382" s="2" t="str">
        <f t="shared" si="5"/>
        <v>35–44</v>
      </c>
      <c r="K382" t="str" cm="1">
        <f t="array" ref="K382">_xlfn.IFS(
  OR(MONTH(B382)=12, MONTH(B382)=1, MONTH(B382)=2), "Winter",
  OR(MONTH(B382)=3, MONTH(B382)=4, MONTH(B382)=5), "Spring",
  OR(MONTH(B382)=6, MONTH(B382)=7, MONTH(B382)=8), "Summer",
  OR(MONTH(B382)=9, MONTH(B382)=10, MONTH(B382)=11), "Fall"
)</f>
        <v>Summer</v>
      </c>
    </row>
    <row r="383" spans="1:11">
      <c r="A383">
        <v>382</v>
      </c>
      <c r="B383" s="1">
        <v>45072</v>
      </c>
      <c r="C383" t="s">
        <v>395</v>
      </c>
      <c r="D383" t="s">
        <v>13</v>
      </c>
      <c r="E383" s="2">
        <v>53</v>
      </c>
      <c r="F383" t="s">
        <v>14</v>
      </c>
      <c r="G383" s="2">
        <v>2</v>
      </c>
      <c r="H383" s="3">
        <v>500</v>
      </c>
      <c r="I383" s="3">
        <v>1000</v>
      </c>
      <c r="J383" s="2" t="str">
        <f t="shared" si="5"/>
        <v>45–54</v>
      </c>
      <c r="K383" t="str" cm="1">
        <f t="array" ref="K383">_xlfn.IFS(
  OR(MONTH(B383)=12, MONTH(B383)=1, MONTH(B383)=2), "Winter",
  OR(MONTH(B383)=3, MONTH(B383)=4, MONTH(B383)=5), "Spring",
  OR(MONTH(B383)=6, MONTH(B383)=7, MONTH(B383)=8), "Summer",
  OR(MONTH(B383)=9, MONTH(B383)=10, MONTH(B383)=11), "Fall"
)</f>
        <v>Spring</v>
      </c>
    </row>
    <row r="384" spans="1:11">
      <c r="A384">
        <v>383</v>
      </c>
      <c r="B384" s="1">
        <v>45007</v>
      </c>
      <c r="C384" t="s">
        <v>396</v>
      </c>
      <c r="D384" t="s">
        <v>13</v>
      </c>
      <c r="E384" s="2">
        <v>46</v>
      </c>
      <c r="F384" t="s">
        <v>11</v>
      </c>
      <c r="G384" s="2">
        <v>3</v>
      </c>
      <c r="H384" s="3">
        <v>30</v>
      </c>
      <c r="I384" s="3">
        <v>90</v>
      </c>
      <c r="J384" s="2" t="str">
        <f t="shared" si="5"/>
        <v>45–54</v>
      </c>
      <c r="K384" t="str" cm="1">
        <f t="array" ref="K384">_xlfn.IFS(
  OR(MONTH(B384)=12, MONTH(B384)=1, MONTH(B384)=2), "Winter",
  OR(MONTH(B384)=3, MONTH(B384)=4, MONTH(B384)=5), "Spring",
  OR(MONTH(B384)=6, MONTH(B384)=7, MONTH(B384)=8), "Summer",
  OR(MONTH(B384)=9, MONTH(B384)=10, MONTH(B384)=11), "Fall"
)</f>
        <v>Spring</v>
      </c>
    </row>
    <row r="385" spans="1:11">
      <c r="A385">
        <v>384</v>
      </c>
      <c r="B385" s="1">
        <v>45151</v>
      </c>
      <c r="C385" t="s">
        <v>397</v>
      </c>
      <c r="D385" t="s">
        <v>10</v>
      </c>
      <c r="E385" s="2">
        <v>55</v>
      </c>
      <c r="F385" t="s">
        <v>14</v>
      </c>
      <c r="G385" s="2">
        <v>1</v>
      </c>
      <c r="H385" s="3">
        <v>500</v>
      </c>
      <c r="I385" s="3">
        <v>500</v>
      </c>
      <c r="J385" s="2" t="str">
        <f t="shared" si="5"/>
        <v>55–64</v>
      </c>
      <c r="K385" t="str" cm="1">
        <f t="array" ref="K385">_xlfn.IFS(
  OR(MONTH(B385)=12, MONTH(B385)=1, MONTH(B385)=2), "Winter",
  OR(MONTH(B385)=3, MONTH(B385)=4, MONTH(B385)=5), "Spring",
  OR(MONTH(B385)=6, MONTH(B385)=7, MONTH(B385)=8), "Summer",
  OR(MONTH(B385)=9, MONTH(B385)=10, MONTH(B385)=11), "Fall"
)</f>
        <v>Summer</v>
      </c>
    </row>
    <row r="386" spans="1:11">
      <c r="A386">
        <v>385</v>
      </c>
      <c r="B386" s="1">
        <v>45205</v>
      </c>
      <c r="C386" t="s">
        <v>398</v>
      </c>
      <c r="D386" t="s">
        <v>10</v>
      </c>
      <c r="E386" s="2">
        <v>50</v>
      </c>
      <c r="F386" t="s">
        <v>16</v>
      </c>
      <c r="G386" s="2">
        <v>3</v>
      </c>
      <c r="H386" s="3">
        <v>500</v>
      </c>
      <c r="I386" s="3">
        <v>1500</v>
      </c>
      <c r="J386" s="2" t="str">
        <f t="shared" ref="J386:J449" si="6">IF(AND(E386&gt;=18, E386&lt;=24), "18–24",
 IF(AND(E386&gt;=25, E386&lt;=34), "25–34",
 IF(AND(E386&gt;=35, E386&lt;=44), "35–44",
 IF(AND(E386&gt;=45, E386&lt;=54), "45–54",
 IF(AND(E386&gt;=55, E386&lt;=64), "55–64", "Other")))))</f>
        <v>45–54</v>
      </c>
      <c r="K386" t="str" cm="1">
        <f t="array" ref="K386">_xlfn.IFS(
  OR(MONTH(B386)=12, MONTH(B386)=1, MONTH(B386)=2), "Winter",
  OR(MONTH(B386)=3, MONTH(B386)=4, MONTH(B386)=5), "Spring",
  OR(MONTH(B386)=6, MONTH(B386)=7, MONTH(B386)=8), "Summer",
  OR(MONTH(B386)=9, MONTH(B386)=10, MONTH(B386)=11), "Fall"
)</f>
        <v>Fall</v>
      </c>
    </row>
    <row r="387" spans="1:11">
      <c r="A387">
        <v>386</v>
      </c>
      <c r="B387" s="1">
        <v>45287</v>
      </c>
      <c r="C387" t="s">
        <v>399</v>
      </c>
      <c r="D387" t="s">
        <v>13</v>
      </c>
      <c r="E387" s="2">
        <v>54</v>
      </c>
      <c r="F387" t="s">
        <v>16</v>
      </c>
      <c r="G387" s="2">
        <v>2</v>
      </c>
      <c r="H387" s="3">
        <v>300</v>
      </c>
      <c r="I387" s="3">
        <v>600</v>
      </c>
      <c r="J387" s="2" t="str">
        <f t="shared" si="6"/>
        <v>45–54</v>
      </c>
      <c r="K387" t="str" cm="1">
        <f t="array" ref="K387">_xlfn.IFS(
  OR(MONTH(B387)=12, MONTH(B387)=1, MONTH(B387)=2), "Winter",
  OR(MONTH(B387)=3, MONTH(B387)=4, MONTH(B387)=5), "Spring",
  OR(MONTH(B387)=6, MONTH(B387)=7, MONTH(B387)=8), "Summer",
  OR(MONTH(B387)=9, MONTH(B387)=10, MONTH(B387)=11), "Fall"
)</f>
        <v>Winter</v>
      </c>
    </row>
    <row r="388" spans="1:11">
      <c r="A388">
        <v>387</v>
      </c>
      <c r="B388" s="1">
        <v>45081</v>
      </c>
      <c r="C388" t="s">
        <v>400</v>
      </c>
      <c r="D388" t="s">
        <v>10</v>
      </c>
      <c r="E388" s="2">
        <v>44</v>
      </c>
      <c r="F388" t="s">
        <v>11</v>
      </c>
      <c r="G388" s="2">
        <v>1</v>
      </c>
      <c r="H388" s="3">
        <v>30</v>
      </c>
      <c r="I388" s="3">
        <v>30</v>
      </c>
      <c r="J388" s="2" t="str">
        <f t="shared" si="6"/>
        <v>35–44</v>
      </c>
      <c r="K388" t="str" cm="1">
        <f t="array" ref="K388">_xlfn.IFS(
  OR(MONTH(B388)=12, MONTH(B388)=1, MONTH(B388)=2), "Winter",
  OR(MONTH(B388)=3, MONTH(B388)=4, MONTH(B388)=5), "Spring",
  OR(MONTH(B388)=6, MONTH(B388)=7, MONTH(B388)=8), "Summer",
  OR(MONTH(B388)=9, MONTH(B388)=10, MONTH(B388)=11), "Fall"
)</f>
        <v>Summer</v>
      </c>
    </row>
    <row r="389" spans="1:11">
      <c r="A389">
        <v>388</v>
      </c>
      <c r="B389" s="1">
        <v>45240</v>
      </c>
      <c r="C389" t="s">
        <v>401</v>
      </c>
      <c r="D389" t="s">
        <v>10</v>
      </c>
      <c r="E389" s="2">
        <v>50</v>
      </c>
      <c r="F389" t="s">
        <v>16</v>
      </c>
      <c r="G389" s="2">
        <v>1</v>
      </c>
      <c r="H389" s="3">
        <v>25</v>
      </c>
      <c r="I389" s="3">
        <v>25</v>
      </c>
      <c r="J389" s="2" t="str">
        <f t="shared" si="6"/>
        <v>45–54</v>
      </c>
      <c r="K389" t="str" cm="1">
        <f t="array" ref="K389">_xlfn.IFS(
  OR(MONTH(B389)=12, MONTH(B389)=1, MONTH(B389)=2), "Winter",
  OR(MONTH(B389)=3, MONTH(B389)=4, MONTH(B389)=5), "Spring",
  OR(MONTH(B389)=6, MONTH(B389)=7, MONTH(B389)=8), "Summer",
  OR(MONTH(B389)=9, MONTH(B389)=10, MONTH(B389)=11), "Fall"
)</f>
        <v>Fall</v>
      </c>
    </row>
    <row r="390" spans="1:11">
      <c r="A390">
        <v>389</v>
      </c>
      <c r="B390" s="1">
        <v>45261</v>
      </c>
      <c r="C390" t="s">
        <v>402</v>
      </c>
      <c r="D390" t="s">
        <v>10</v>
      </c>
      <c r="E390" s="2">
        <v>21</v>
      </c>
      <c r="F390" t="s">
        <v>14</v>
      </c>
      <c r="G390" s="2">
        <v>2</v>
      </c>
      <c r="H390" s="3">
        <v>25</v>
      </c>
      <c r="I390" s="3">
        <v>50</v>
      </c>
      <c r="J390" s="2" t="str">
        <f t="shared" si="6"/>
        <v>18–24</v>
      </c>
      <c r="K390" t="str" cm="1">
        <f t="array" ref="K390">_xlfn.IFS(
  OR(MONTH(B390)=12, MONTH(B390)=1, MONTH(B390)=2), "Winter",
  OR(MONTH(B390)=3, MONTH(B390)=4, MONTH(B390)=5), "Spring",
  OR(MONTH(B390)=6, MONTH(B390)=7, MONTH(B390)=8), "Summer",
  OR(MONTH(B390)=9, MONTH(B390)=10, MONTH(B390)=11), "Fall"
)</f>
        <v>Winter</v>
      </c>
    </row>
    <row r="391" spans="1:11">
      <c r="A391">
        <v>390</v>
      </c>
      <c r="B391" s="1">
        <v>45197</v>
      </c>
      <c r="C391" t="s">
        <v>403</v>
      </c>
      <c r="D391" t="s">
        <v>10</v>
      </c>
      <c r="E391" s="2">
        <v>39</v>
      </c>
      <c r="F391" t="s">
        <v>16</v>
      </c>
      <c r="G391" s="2">
        <v>2</v>
      </c>
      <c r="H391" s="3">
        <v>50</v>
      </c>
      <c r="I391" s="3">
        <v>100</v>
      </c>
      <c r="J391" s="2" t="str">
        <f t="shared" si="6"/>
        <v>35–44</v>
      </c>
      <c r="K391" t="str" cm="1">
        <f t="array" ref="K391">_xlfn.IFS(
  OR(MONTH(B391)=12, MONTH(B391)=1, MONTH(B391)=2), "Winter",
  OR(MONTH(B391)=3, MONTH(B391)=4, MONTH(B391)=5), "Spring",
  OR(MONTH(B391)=6, MONTH(B391)=7, MONTH(B391)=8), "Summer",
  OR(MONTH(B391)=9, MONTH(B391)=10, MONTH(B391)=11), "Fall"
)</f>
        <v>Fall</v>
      </c>
    </row>
    <row r="392" spans="1:11">
      <c r="A392">
        <v>391</v>
      </c>
      <c r="B392" s="1">
        <v>44931</v>
      </c>
      <c r="C392" t="s">
        <v>404</v>
      </c>
      <c r="D392" t="s">
        <v>10</v>
      </c>
      <c r="E392" s="2">
        <v>19</v>
      </c>
      <c r="F392" t="s">
        <v>11</v>
      </c>
      <c r="G392" s="2">
        <v>2</v>
      </c>
      <c r="H392" s="3">
        <v>25</v>
      </c>
      <c r="I392" s="3">
        <v>50</v>
      </c>
      <c r="J392" s="2" t="str">
        <f t="shared" si="6"/>
        <v>18–24</v>
      </c>
      <c r="K392" t="str" cm="1">
        <f t="array" ref="K392">_xlfn.IFS(
  OR(MONTH(B392)=12, MONTH(B392)=1, MONTH(B392)=2), "Winter",
  OR(MONTH(B392)=3, MONTH(B392)=4, MONTH(B392)=5), "Spring",
  OR(MONTH(B392)=6, MONTH(B392)=7, MONTH(B392)=8), "Summer",
  OR(MONTH(B392)=9, MONTH(B392)=10, MONTH(B392)=11), "Fall"
)</f>
        <v>Winter</v>
      </c>
    </row>
    <row r="393" spans="1:11">
      <c r="A393">
        <v>392</v>
      </c>
      <c r="B393" s="1">
        <v>45268</v>
      </c>
      <c r="C393" t="s">
        <v>405</v>
      </c>
      <c r="D393" t="s">
        <v>10</v>
      </c>
      <c r="E393" s="2">
        <v>27</v>
      </c>
      <c r="F393" t="s">
        <v>14</v>
      </c>
      <c r="G393" s="2">
        <v>2</v>
      </c>
      <c r="H393" s="3">
        <v>300</v>
      </c>
      <c r="I393" s="3">
        <v>600</v>
      </c>
      <c r="J393" s="2" t="str">
        <f t="shared" si="6"/>
        <v>25–34</v>
      </c>
      <c r="K393" t="str" cm="1">
        <f t="array" ref="K393">_xlfn.IFS(
  OR(MONTH(B393)=12, MONTH(B393)=1, MONTH(B393)=2), "Winter",
  OR(MONTH(B393)=3, MONTH(B393)=4, MONTH(B393)=5), "Spring",
  OR(MONTH(B393)=6, MONTH(B393)=7, MONTH(B393)=8), "Summer",
  OR(MONTH(B393)=9, MONTH(B393)=10, MONTH(B393)=11), "Fall"
)</f>
        <v>Winter</v>
      </c>
    </row>
    <row r="394" spans="1:11">
      <c r="A394">
        <v>393</v>
      </c>
      <c r="B394" s="1">
        <v>45210</v>
      </c>
      <c r="C394" t="s">
        <v>406</v>
      </c>
      <c r="D394" t="s">
        <v>13</v>
      </c>
      <c r="E394" s="2">
        <v>22</v>
      </c>
      <c r="F394" t="s">
        <v>11</v>
      </c>
      <c r="G394" s="2">
        <v>2</v>
      </c>
      <c r="H394" s="3">
        <v>500</v>
      </c>
      <c r="I394" s="3">
        <v>1000</v>
      </c>
      <c r="J394" s="2" t="str">
        <f t="shared" si="6"/>
        <v>18–24</v>
      </c>
      <c r="K394" t="str" cm="1">
        <f t="array" ref="K394">_xlfn.IFS(
  OR(MONTH(B394)=12, MONTH(B394)=1, MONTH(B394)=2), "Winter",
  OR(MONTH(B394)=3, MONTH(B394)=4, MONTH(B394)=5), "Spring",
  OR(MONTH(B394)=6, MONTH(B394)=7, MONTH(B394)=8), "Summer",
  OR(MONTH(B394)=9, MONTH(B394)=10, MONTH(B394)=11), "Fall"
)</f>
        <v>Fall</v>
      </c>
    </row>
    <row r="395" spans="1:11">
      <c r="A395">
        <v>394</v>
      </c>
      <c r="B395" s="1">
        <v>45080</v>
      </c>
      <c r="C395" t="s">
        <v>407</v>
      </c>
      <c r="D395" t="s">
        <v>13</v>
      </c>
      <c r="E395" s="2">
        <v>27</v>
      </c>
      <c r="F395" t="s">
        <v>14</v>
      </c>
      <c r="G395" s="2">
        <v>1</v>
      </c>
      <c r="H395" s="3">
        <v>500</v>
      </c>
      <c r="I395" s="3">
        <v>500</v>
      </c>
      <c r="J395" s="2" t="str">
        <f t="shared" si="6"/>
        <v>25–34</v>
      </c>
      <c r="K395" t="str" cm="1">
        <f t="array" ref="K395">_xlfn.IFS(
  OR(MONTH(B395)=12, MONTH(B395)=1, MONTH(B395)=2), "Winter",
  OR(MONTH(B395)=3, MONTH(B395)=4, MONTH(B395)=5), "Spring",
  OR(MONTH(B395)=6, MONTH(B395)=7, MONTH(B395)=8), "Summer",
  OR(MONTH(B395)=9, MONTH(B395)=10, MONTH(B395)=11), "Fall"
)</f>
        <v>Summer</v>
      </c>
    </row>
    <row r="396" spans="1:11">
      <c r="A396">
        <v>395</v>
      </c>
      <c r="B396" s="1">
        <v>45266</v>
      </c>
      <c r="C396" t="s">
        <v>408</v>
      </c>
      <c r="D396" t="s">
        <v>10</v>
      </c>
      <c r="E396" s="2">
        <v>50</v>
      </c>
      <c r="F396" t="s">
        <v>16</v>
      </c>
      <c r="G396" s="2">
        <v>2</v>
      </c>
      <c r="H396" s="3">
        <v>500</v>
      </c>
      <c r="I396" s="3">
        <v>1000</v>
      </c>
      <c r="J396" s="2" t="str">
        <f t="shared" si="6"/>
        <v>45–54</v>
      </c>
      <c r="K396" t="str" cm="1">
        <f t="array" ref="K396">_xlfn.IFS(
  OR(MONTH(B396)=12, MONTH(B396)=1, MONTH(B396)=2), "Winter",
  OR(MONTH(B396)=3, MONTH(B396)=4, MONTH(B396)=5), "Spring",
  OR(MONTH(B396)=6, MONTH(B396)=7, MONTH(B396)=8), "Summer",
  OR(MONTH(B396)=9, MONTH(B396)=10, MONTH(B396)=11), "Fall"
)</f>
        <v>Winter</v>
      </c>
    </row>
    <row r="397" spans="1:11">
      <c r="A397">
        <v>396</v>
      </c>
      <c r="B397" s="1">
        <v>44980</v>
      </c>
      <c r="C397" t="s">
        <v>409</v>
      </c>
      <c r="D397" t="s">
        <v>13</v>
      </c>
      <c r="E397" s="2">
        <v>55</v>
      </c>
      <c r="F397" t="s">
        <v>11</v>
      </c>
      <c r="G397" s="2">
        <v>1</v>
      </c>
      <c r="H397" s="3">
        <v>30</v>
      </c>
      <c r="I397" s="3">
        <v>30</v>
      </c>
      <c r="J397" s="2" t="str">
        <f t="shared" si="6"/>
        <v>55–64</v>
      </c>
      <c r="K397" t="str" cm="1">
        <f t="array" ref="K397">_xlfn.IFS(
  OR(MONTH(B397)=12, MONTH(B397)=1, MONTH(B397)=2), "Winter",
  OR(MONTH(B397)=3, MONTH(B397)=4, MONTH(B397)=5), "Spring",
  OR(MONTH(B397)=6, MONTH(B397)=7, MONTH(B397)=8), "Summer",
  OR(MONTH(B397)=9, MONTH(B397)=10, MONTH(B397)=11), "Fall"
)</f>
        <v>Winter</v>
      </c>
    </row>
    <row r="398" spans="1:11">
      <c r="A398">
        <v>397</v>
      </c>
      <c r="B398" s="1">
        <v>44995</v>
      </c>
      <c r="C398" t="s">
        <v>410</v>
      </c>
      <c r="D398" t="s">
        <v>13</v>
      </c>
      <c r="E398" s="2">
        <v>30</v>
      </c>
      <c r="F398" t="s">
        <v>11</v>
      </c>
      <c r="G398" s="2">
        <v>1</v>
      </c>
      <c r="H398" s="3">
        <v>25</v>
      </c>
      <c r="I398" s="3">
        <v>25</v>
      </c>
      <c r="J398" s="2" t="str">
        <f t="shared" si="6"/>
        <v>25–34</v>
      </c>
      <c r="K398" t="str" cm="1">
        <f t="array" ref="K398">_xlfn.IFS(
  OR(MONTH(B398)=12, MONTH(B398)=1, MONTH(B398)=2), "Winter",
  OR(MONTH(B398)=3, MONTH(B398)=4, MONTH(B398)=5), "Spring",
  OR(MONTH(B398)=6, MONTH(B398)=7, MONTH(B398)=8), "Summer",
  OR(MONTH(B398)=9, MONTH(B398)=10, MONTH(B398)=11), "Fall"
)</f>
        <v>Spring</v>
      </c>
    </row>
    <row r="399" spans="1:11">
      <c r="A399">
        <v>398</v>
      </c>
      <c r="B399" s="1">
        <v>45062</v>
      </c>
      <c r="C399" t="s">
        <v>411</v>
      </c>
      <c r="D399" t="s">
        <v>13</v>
      </c>
      <c r="E399" s="2">
        <v>48</v>
      </c>
      <c r="F399" t="s">
        <v>14</v>
      </c>
      <c r="G399" s="2">
        <v>2</v>
      </c>
      <c r="H399" s="3">
        <v>300</v>
      </c>
      <c r="I399" s="3">
        <v>600</v>
      </c>
      <c r="J399" s="2" t="str">
        <f t="shared" si="6"/>
        <v>45–54</v>
      </c>
      <c r="K399" t="str" cm="1">
        <f t="array" ref="K399">_xlfn.IFS(
  OR(MONTH(B399)=12, MONTH(B399)=1, MONTH(B399)=2), "Winter",
  OR(MONTH(B399)=3, MONTH(B399)=4, MONTH(B399)=5), "Spring",
  OR(MONTH(B399)=6, MONTH(B399)=7, MONTH(B399)=8), "Summer",
  OR(MONTH(B399)=9, MONTH(B399)=10, MONTH(B399)=11), "Fall"
)</f>
        <v>Spring</v>
      </c>
    </row>
    <row r="400" spans="1:11">
      <c r="A400">
        <v>399</v>
      </c>
      <c r="B400" s="1">
        <v>44986</v>
      </c>
      <c r="C400" t="s">
        <v>412</v>
      </c>
      <c r="D400" t="s">
        <v>13</v>
      </c>
      <c r="E400" s="2">
        <v>64</v>
      </c>
      <c r="F400" t="s">
        <v>11</v>
      </c>
      <c r="G400" s="2">
        <v>2</v>
      </c>
      <c r="H400" s="3">
        <v>30</v>
      </c>
      <c r="I400" s="3">
        <v>60</v>
      </c>
      <c r="J400" s="2" t="str">
        <f t="shared" si="6"/>
        <v>55–64</v>
      </c>
      <c r="K400" t="str" cm="1">
        <f t="array" ref="K400">_xlfn.IFS(
  OR(MONTH(B400)=12, MONTH(B400)=1, MONTH(B400)=2), "Winter",
  OR(MONTH(B400)=3, MONTH(B400)=4, MONTH(B400)=5), "Spring",
  OR(MONTH(B400)=6, MONTH(B400)=7, MONTH(B400)=8), "Summer",
  OR(MONTH(B400)=9, MONTH(B400)=10, MONTH(B400)=11), "Fall"
)</f>
        <v>Spring</v>
      </c>
    </row>
    <row r="401" spans="1:11">
      <c r="A401">
        <v>400</v>
      </c>
      <c r="B401" s="1">
        <v>44981</v>
      </c>
      <c r="C401" t="s">
        <v>413</v>
      </c>
      <c r="D401" t="s">
        <v>10</v>
      </c>
      <c r="E401" s="2">
        <v>53</v>
      </c>
      <c r="F401" t="s">
        <v>14</v>
      </c>
      <c r="G401" s="2">
        <v>4</v>
      </c>
      <c r="H401" s="3">
        <v>50</v>
      </c>
      <c r="I401" s="3">
        <v>200</v>
      </c>
      <c r="J401" s="2" t="str">
        <f t="shared" si="6"/>
        <v>45–54</v>
      </c>
      <c r="K401" t="str" cm="1">
        <f t="array" ref="K401">_xlfn.IFS(
  OR(MONTH(B401)=12, MONTH(B401)=1, MONTH(B401)=2), "Winter",
  OR(MONTH(B401)=3, MONTH(B401)=4, MONTH(B401)=5), "Spring",
  OR(MONTH(B401)=6, MONTH(B401)=7, MONTH(B401)=8), "Summer",
  OR(MONTH(B401)=9, MONTH(B401)=10, MONTH(B401)=11), "Fall"
)</f>
        <v>Winter</v>
      </c>
    </row>
    <row r="402" spans="1:11">
      <c r="A402">
        <v>401</v>
      </c>
      <c r="B402" s="1">
        <v>45210</v>
      </c>
      <c r="C402" t="s">
        <v>414</v>
      </c>
      <c r="D402" t="s">
        <v>13</v>
      </c>
      <c r="E402" s="2">
        <v>62</v>
      </c>
      <c r="F402" t="s">
        <v>14</v>
      </c>
      <c r="G402" s="2">
        <v>1</v>
      </c>
      <c r="H402" s="3">
        <v>300</v>
      </c>
      <c r="I402" s="3">
        <v>300</v>
      </c>
      <c r="J402" s="2" t="str">
        <f t="shared" si="6"/>
        <v>55–64</v>
      </c>
      <c r="K402" t="str" cm="1">
        <f t="array" ref="K402">_xlfn.IFS(
  OR(MONTH(B402)=12, MONTH(B402)=1, MONTH(B402)=2), "Winter",
  OR(MONTH(B402)=3, MONTH(B402)=4, MONTH(B402)=5), "Spring",
  OR(MONTH(B402)=6, MONTH(B402)=7, MONTH(B402)=8), "Summer",
  OR(MONTH(B402)=9, MONTH(B402)=10, MONTH(B402)=11), "Fall"
)</f>
        <v>Fall</v>
      </c>
    </row>
    <row r="403" spans="1:11">
      <c r="A403">
        <v>402</v>
      </c>
      <c r="B403" s="1">
        <v>45006</v>
      </c>
      <c r="C403" t="s">
        <v>415</v>
      </c>
      <c r="D403" t="s">
        <v>13</v>
      </c>
      <c r="E403" s="2">
        <v>41</v>
      </c>
      <c r="F403" t="s">
        <v>14</v>
      </c>
      <c r="G403" s="2">
        <v>2</v>
      </c>
      <c r="H403" s="3">
        <v>300</v>
      </c>
      <c r="I403" s="3">
        <v>600</v>
      </c>
      <c r="J403" s="2" t="str">
        <f t="shared" si="6"/>
        <v>35–44</v>
      </c>
      <c r="K403" t="str" cm="1">
        <f t="array" ref="K403">_xlfn.IFS(
  OR(MONTH(B403)=12, MONTH(B403)=1, MONTH(B403)=2), "Winter",
  OR(MONTH(B403)=3, MONTH(B403)=4, MONTH(B403)=5), "Spring",
  OR(MONTH(B403)=6, MONTH(B403)=7, MONTH(B403)=8), "Summer",
  OR(MONTH(B403)=9, MONTH(B403)=10, MONTH(B403)=11), "Fall"
)</f>
        <v>Spring</v>
      </c>
    </row>
    <row r="404" spans="1:11">
      <c r="A404">
        <v>403</v>
      </c>
      <c r="B404" s="1">
        <v>45066</v>
      </c>
      <c r="C404" t="s">
        <v>416</v>
      </c>
      <c r="D404" t="s">
        <v>10</v>
      </c>
      <c r="E404" s="2">
        <v>32</v>
      </c>
      <c r="F404" t="s">
        <v>14</v>
      </c>
      <c r="G404" s="2">
        <v>2</v>
      </c>
      <c r="H404" s="3">
        <v>300</v>
      </c>
      <c r="I404" s="3">
        <v>600</v>
      </c>
      <c r="J404" s="2" t="str">
        <f t="shared" si="6"/>
        <v>25–34</v>
      </c>
      <c r="K404" t="str" cm="1">
        <f t="array" ref="K404">_xlfn.IFS(
  OR(MONTH(B404)=12, MONTH(B404)=1, MONTH(B404)=2), "Winter",
  OR(MONTH(B404)=3, MONTH(B404)=4, MONTH(B404)=5), "Spring",
  OR(MONTH(B404)=6, MONTH(B404)=7, MONTH(B404)=8), "Summer",
  OR(MONTH(B404)=9, MONTH(B404)=10, MONTH(B404)=11), "Fall"
)</f>
        <v>Spring</v>
      </c>
    </row>
    <row r="405" spans="1:11">
      <c r="A405">
        <v>404</v>
      </c>
      <c r="B405" s="1">
        <v>45071</v>
      </c>
      <c r="C405" t="s">
        <v>417</v>
      </c>
      <c r="D405" t="s">
        <v>10</v>
      </c>
      <c r="E405" s="2">
        <v>46</v>
      </c>
      <c r="F405" t="s">
        <v>16</v>
      </c>
      <c r="G405" s="2">
        <v>2</v>
      </c>
      <c r="H405" s="3">
        <v>500</v>
      </c>
      <c r="I405" s="3">
        <v>1000</v>
      </c>
      <c r="J405" s="2" t="str">
        <f t="shared" si="6"/>
        <v>45–54</v>
      </c>
      <c r="K405" t="str" cm="1">
        <f t="array" ref="K405">_xlfn.IFS(
  OR(MONTH(B405)=12, MONTH(B405)=1, MONTH(B405)=2), "Winter",
  OR(MONTH(B405)=3, MONTH(B405)=4, MONTH(B405)=5), "Spring",
  OR(MONTH(B405)=6, MONTH(B405)=7, MONTH(B405)=8), "Summer",
  OR(MONTH(B405)=9, MONTH(B405)=10, MONTH(B405)=11), "Fall"
)</f>
        <v>Spring</v>
      </c>
    </row>
    <row r="406" spans="1:11">
      <c r="A406">
        <v>405</v>
      </c>
      <c r="B406" s="1">
        <v>45236</v>
      </c>
      <c r="C406" t="s">
        <v>418</v>
      </c>
      <c r="D406" t="s">
        <v>13</v>
      </c>
      <c r="E406" s="2">
        <v>25</v>
      </c>
      <c r="F406" t="s">
        <v>14</v>
      </c>
      <c r="G406" s="2">
        <v>4</v>
      </c>
      <c r="H406" s="3">
        <v>300</v>
      </c>
      <c r="I406" s="3">
        <v>1200</v>
      </c>
      <c r="J406" s="2" t="str">
        <f t="shared" si="6"/>
        <v>25–34</v>
      </c>
      <c r="K406" t="str" cm="1">
        <f t="array" ref="K406">_xlfn.IFS(
  OR(MONTH(B406)=12, MONTH(B406)=1, MONTH(B406)=2), "Winter",
  OR(MONTH(B406)=3, MONTH(B406)=4, MONTH(B406)=5), "Spring",
  OR(MONTH(B406)=6, MONTH(B406)=7, MONTH(B406)=8), "Summer",
  OR(MONTH(B406)=9, MONTH(B406)=10, MONTH(B406)=11), "Fall"
)</f>
        <v>Fall</v>
      </c>
    </row>
    <row r="407" spans="1:11">
      <c r="A407">
        <v>406</v>
      </c>
      <c r="B407" s="1">
        <v>45034</v>
      </c>
      <c r="C407" t="s">
        <v>419</v>
      </c>
      <c r="D407" t="s">
        <v>13</v>
      </c>
      <c r="E407" s="2">
        <v>22</v>
      </c>
      <c r="F407" t="s">
        <v>11</v>
      </c>
      <c r="G407" s="2">
        <v>4</v>
      </c>
      <c r="H407" s="3">
        <v>25</v>
      </c>
      <c r="I407" s="3">
        <v>100</v>
      </c>
      <c r="J407" s="2" t="str">
        <f t="shared" si="6"/>
        <v>18–24</v>
      </c>
      <c r="K407" t="str" cm="1">
        <f t="array" ref="K407">_xlfn.IFS(
  OR(MONTH(B407)=12, MONTH(B407)=1, MONTH(B407)=2), "Winter",
  OR(MONTH(B407)=3, MONTH(B407)=4, MONTH(B407)=5), "Spring",
  OR(MONTH(B407)=6, MONTH(B407)=7, MONTH(B407)=8), "Summer",
  OR(MONTH(B407)=9, MONTH(B407)=10, MONTH(B407)=11), "Fall"
)</f>
        <v>Spring</v>
      </c>
    </row>
    <row r="408" spans="1:11">
      <c r="A408">
        <v>407</v>
      </c>
      <c r="B408" s="1">
        <v>45102</v>
      </c>
      <c r="C408" t="s">
        <v>420</v>
      </c>
      <c r="D408" t="s">
        <v>13</v>
      </c>
      <c r="E408" s="2">
        <v>46</v>
      </c>
      <c r="F408" t="s">
        <v>16</v>
      </c>
      <c r="G408" s="2">
        <v>3</v>
      </c>
      <c r="H408" s="3">
        <v>300</v>
      </c>
      <c r="I408" s="3">
        <v>900</v>
      </c>
      <c r="J408" s="2" t="str">
        <f t="shared" si="6"/>
        <v>45–54</v>
      </c>
      <c r="K408" t="str" cm="1">
        <f t="array" ref="K408">_xlfn.IFS(
  OR(MONTH(B408)=12, MONTH(B408)=1, MONTH(B408)=2), "Winter",
  OR(MONTH(B408)=3, MONTH(B408)=4, MONTH(B408)=5), "Spring",
  OR(MONTH(B408)=6, MONTH(B408)=7, MONTH(B408)=8), "Summer",
  OR(MONTH(B408)=9, MONTH(B408)=10, MONTH(B408)=11), "Fall"
)</f>
        <v>Summer</v>
      </c>
    </row>
    <row r="409" spans="1:11">
      <c r="A409">
        <v>408</v>
      </c>
      <c r="B409" s="1">
        <v>45031</v>
      </c>
      <c r="C409" t="s">
        <v>421</v>
      </c>
      <c r="D409" t="s">
        <v>13</v>
      </c>
      <c r="E409" s="2">
        <v>64</v>
      </c>
      <c r="F409" t="s">
        <v>11</v>
      </c>
      <c r="G409" s="2">
        <v>1</v>
      </c>
      <c r="H409" s="3">
        <v>500</v>
      </c>
      <c r="I409" s="3">
        <v>500</v>
      </c>
      <c r="J409" s="2" t="str">
        <f t="shared" si="6"/>
        <v>55–64</v>
      </c>
      <c r="K409" t="str" cm="1">
        <f t="array" ref="K409">_xlfn.IFS(
  OR(MONTH(B409)=12, MONTH(B409)=1, MONTH(B409)=2), "Winter",
  OR(MONTH(B409)=3, MONTH(B409)=4, MONTH(B409)=5), "Spring",
  OR(MONTH(B409)=6, MONTH(B409)=7, MONTH(B409)=8), "Summer",
  OR(MONTH(B409)=9, MONTH(B409)=10, MONTH(B409)=11), "Fall"
)</f>
        <v>Spring</v>
      </c>
    </row>
    <row r="410" spans="1:11">
      <c r="A410">
        <v>409</v>
      </c>
      <c r="B410" s="1">
        <v>45278</v>
      </c>
      <c r="C410" t="s">
        <v>422</v>
      </c>
      <c r="D410" t="s">
        <v>13</v>
      </c>
      <c r="E410" s="2">
        <v>21</v>
      </c>
      <c r="F410" t="s">
        <v>16</v>
      </c>
      <c r="G410" s="2">
        <v>3</v>
      </c>
      <c r="H410" s="3">
        <v>300</v>
      </c>
      <c r="I410" s="3">
        <v>900</v>
      </c>
      <c r="J410" s="2" t="str">
        <f t="shared" si="6"/>
        <v>18–24</v>
      </c>
      <c r="K410" t="str" cm="1">
        <f t="array" ref="K410">_xlfn.IFS(
  OR(MONTH(B410)=12, MONTH(B410)=1, MONTH(B410)=2), "Winter",
  OR(MONTH(B410)=3, MONTH(B410)=4, MONTH(B410)=5), "Spring",
  OR(MONTH(B410)=6, MONTH(B410)=7, MONTH(B410)=8), "Summer",
  OR(MONTH(B410)=9, MONTH(B410)=10, MONTH(B410)=11), "Fall"
)</f>
        <v>Winter</v>
      </c>
    </row>
    <row r="411" spans="1:11">
      <c r="A411">
        <v>410</v>
      </c>
      <c r="B411" s="1">
        <v>45251</v>
      </c>
      <c r="C411" t="s">
        <v>423</v>
      </c>
      <c r="D411" t="s">
        <v>13</v>
      </c>
      <c r="E411" s="2">
        <v>29</v>
      </c>
      <c r="F411" t="s">
        <v>14</v>
      </c>
      <c r="G411" s="2">
        <v>2</v>
      </c>
      <c r="H411" s="3">
        <v>50</v>
      </c>
      <c r="I411" s="3">
        <v>100</v>
      </c>
      <c r="J411" s="2" t="str">
        <f t="shared" si="6"/>
        <v>25–34</v>
      </c>
      <c r="K411" t="str" cm="1">
        <f t="array" ref="K411">_xlfn.IFS(
  OR(MONTH(B411)=12, MONTH(B411)=1, MONTH(B411)=2), "Winter",
  OR(MONTH(B411)=3, MONTH(B411)=4, MONTH(B411)=5), "Spring",
  OR(MONTH(B411)=6, MONTH(B411)=7, MONTH(B411)=8), "Summer",
  OR(MONTH(B411)=9, MONTH(B411)=10, MONTH(B411)=11), "Fall"
)</f>
        <v>Fall</v>
      </c>
    </row>
    <row r="412" spans="1:11">
      <c r="A412">
        <v>411</v>
      </c>
      <c r="B412" s="1">
        <v>45062</v>
      </c>
      <c r="C412" t="s">
        <v>424</v>
      </c>
      <c r="D412" t="s">
        <v>10</v>
      </c>
      <c r="E412" s="2">
        <v>62</v>
      </c>
      <c r="F412" t="s">
        <v>16</v>
      </c>
      <c r="G412" s="2">
        <v>4</v>
      </c>
      <c r="H412" s="3">
        <v>50</v>
      </c>
      <c r="I412" s="3">
        <v>200</v>
      </c>
      <c r="J412" s="2" t="str">
        <f t="shared" si="6"/>
        <v>55–64</v>
      </c>
      <c r="K412" t="str" cm="1">
        <f t="array" ref="K412">_xlfn.IFS(
  OR(MONTH(B412)=12, MONTH(B412)=1, MONTH(B412)=2), "Winter",
  OR(MONTH(B412)=3, MONTH(B412)=4, MONTH(B412)=5), "Spring",
  OR(MONTH(B412)=6, MONTH(B412)=7, MONTH(B412)=8), "Summer",
  OR(MONTH(B412)=9, MONTH(B412)=10, MONTH(B412)=11), "Fall"
)</f>
        <v>Spring</v>
      </c>
    </row>
    <row r="413" spans="1:11">
      <c r="A413">
        <v>412</v>
      </c>
      <c r="B413" s="1">
        <v>45185</v>
      </c>
      <c r="C413" t="s">
        <v>425</v>
      </c>
      <c r="D413" t="s">
        <v>13</v>
      </c>
      <c r="E413" s="2">
        <v>19</v>
      </c>
      <c r="F413" t="s">
        <v>16</v>
      </c>
      <c r="G413" s="2">
        <v>4</v>
      </c>
      <c r="H413" s="3">
        <v>500</v>
      </c>
      <c r="I413" s="3">
        <v>2000</v>
      </c>
      <c r="J413" s="2" t="str">
        <f t="shared" si="6"/>
        <v>18–24</v>
      </c>
      <c r="K413" t="str" cm="1">
        <f t="array" ref="K413">_xlfn.IFS(
  OR(MONTH(B413)=12, MONTH(B413)=1, MONTH(B413)=2), "Winter",
  OR(MONTH(B413)=3, MONTH(B413)=4, MONTH(B413)=5), "Spring",
  OR(MONTH(B413)=6, MONTH(B413)=7, MONTH(B413)=8), "Summer",
  OR(MONTH(B413)=9, MONTH(B413)=10, MONTH(B413)=11), "Fall"
)</f>
        <v>Fall</v>
      </c>
    </row>
    <row r="414" spans="1:11">
      <c r="A414">
        <v>413</v>
      </c>
      <c r="B414" s="1">
        <v>45177</v>
      </c>
      <c r="C414" t="s">
        <v>426</v>
      </c>
      <c r="D414" t="s">
        <v>13</v>
      </c>
      <c r="E414" s="2">
        <v>44</v>
      </c>
      <c r="F414" t="s">
        <v>11</v>
      </c>
      <c r="G414" s="2">
        <v>3</v>
      </c>
      <c r="H414" s="3">
        <v>25</v>
      </c>
      <c r="I414" s="3">
        <v>75</v>
      </c>
      <c r="J414" s="2" t="str">
        <f t="shared" si="6"/>
        <v>35–44</v>
      </c>
      <c r="K414" t="str" cm="1">
        <f t="array" ref="K414">_xlfn.IFS(
  OR(MONTH(B414)=12, MONTH(B414)=1, MONTH(B414)=2), "Winter",
  OR(MONTH(B414)=3, MONTH(B414)=4, MONTH(B414)=5), "Spring",
  OR(MONTH(B414)=6, MONTH(B414)=7, MONTH(B414)=8), "Summer",
  OR(MONTH(B414)=9, MONTH(B414)=10, MONTH(B414)=11), "Fall"
)</f>
        <v>Fall</v>
      </c>
    </row>
    <row r="415" spans="1:11">
      <c r="A415">
        <v>414</v>
      </c>
      <c r="B415" s="1">
        <v>45055</v>
      </c>
      <c r="C415" t="s">
        <v>427</v>
      </c>
      <c r="D415" t="s">
        <v>10</v>
      </c>
      <c r="E415" s="2">
        <v>48</v>
      </c>
      <c r="F415" t="s">
        <v>11</v>
      </c>
      <c r="G415" s="2">
        <v>4</v>
      </c>
      <c r="H415" s="3">
        <v>25</v>
      </c>
      <c r="I415" s="3">
        <v>100</v>
      </c>
      <c r="J415" s="2" t="str">
        <f t="shared" si="6"/>
        <v>45–54</v>
      </c>
      <c r="K415" t="str" cm="1">
        <f t="array" ref="K415">_xlfn.IFS(
  OR(MONTH(B415)=12, MONTH(B415)=1, MONTH(B415)=2), "Winter",
  OR(MONTH(B415)=3, MONTH(B415)=4, MONTH(B415)=5), "Spring",
  OR(MONTH(B415)=6, MONTH(B415)=7, MONTH(B415)=8), "Summer",
  OR(MONTH(B415)=9, MONTH(B415)=10, MONTH(B415)=11), "Fall"
)</f>
        <v>Spring</v>
      </c>
    </row>
    <row r="416" spans="1:11">
      <c r="A416">
        <v>415</v>
      </c>
      <c r="B416" s="1">
        <v>44953</v>
      </c>
      <c r="C416" t="s">
        <v>428</v>
      </c>
      <c r="D416" t="s">
        <v>10</v>
      </c>
      <c r="E416" s="2">
        <v>53</v>
      </c>
      <c r="F416" t="s">
        <v>14</v>
      </c>
      <c r="G416" s="2">
        <v>2</v>
      </c>
      <c r="H416" s="3">
        <v>30</v>
      </c>
      <c r="I416" s="3">
        <v>60</v>
      </c>
      <c r="J416" s="2" t="str">
        <f t="shared" si="6"/>
        <v>45–54</v>
      </c>
      <c r="K416" t="str" cm="1">
        <f t="array" ref="K416">_xlfn.IFS(
  OR(MONTH(B416)=12, MONTH(B416)=1, MONTH(B416)=2), "Winter",
  OR(MONTH(B416)=3, MONTH(B416)=4, MONTH(B416)=5), "Spring",
  OR(MONTH(B416)=6, MONTH(B416)=7, MONTH(B416)=8), "Summer",
  OR(MONTH(B416)=9, MONTH(B416)=10, MONTH(B416)=11), "Fall"
)</f>
        <v>Winter</v>
      </c>
    </row>
    <row r="417" spans="1:11">
      <c r="A417">
        <v>416</v>
      </c>
      <c r="B417" s="1">
        <v>44974</v>
      </c>
      <c r="C417" t="s">
        <v>429</v>
      </c>
      <c r="D417" t="s">
        <v>10</v>
      </c>
      <c r="E417" s="2">
        <v>53</v>
      </c>
      <c r="F417" t="s">
        <v>16</v>
      </c>
      <c r="G417" s="2">
        <v>4</v>
      </c>
      <c r="H417" s="3">
        <v>500</v>
      </c>
      <c r="I417" s="3">
        <v>2000</v>
      </c>
      <c r="J417" s="2" t="str">
        <f t="shared" si="6"/>
        <v>45–54</v>
      </c>
      <c r="K417" t="str" cm="1">
        <f t="array" ref="K417">_xlfn.IFS(
  OR(MONTH(B417)=12, MONTH(B417)=1, MONTH(B417)=2), "Winter",
  OR(MONTH(B417)=3, MONTH(B417)=4, MONTH(B417)=5), "Spring",
  OR(MONTH(B417)=6, MONTH(B417)=7, MONTH(B417)=8), "Summer",
  OR(MONTH(B417)=9, MONTH(B417)=10, MONTH(B417)=11), "Fall"
)</f>
        <v>Winter</v>
      </c>
    </row>
    <row r="418" spans="1:11">
      <c r="A418">
        <v>417</v>
      </c>
      <c r="B418" s="1">
        <v>45251</v>
      </c>
      <c r="C418" t="s">
        <v>430</v>
      </c>
      <c r="D418" t="s">
        <v>10</v>
      </c>
      <c r="E418" s="2">
        <v>43</v>
      </c>
      <c r="F418" t="s">
        <v>16</v>
      </c>
      <c r="G418" s="2">
        <v>3</v>
      </c>
      <c r="H418" s="3">
        <v>300</v>
      </c>
      <c r="I418" s="3">
        <v>900</v>
      </c>
      <c r="J418" s="2" t="str">
        <f t="shared" si="6"/>
        <v>35–44</v>
      </c>
      <c r="K418" t="str" cm="1">
        <f t="array" ref="K418">_xlfn.IFS(
  OR(MONTH(B418)=12, MONTH(B418)=1, MONTH(B418)=2), "Winter",
  OR(MONTH(B418)=3, MONTH(B418)=4, MONTH(B418)=5), "Spring",
  OR(MONTH(B418)=6, MONTH(B418)=7, MONTH(B418)=8), "Summer",
  OR(MONTH(B418)=9, MONTH(B418)=10, MONTH(B418)=11), "Fall"
)</f>
        <v>Fall</v>
      </c>
    </row>
    <row r="419" spans="1:11">
      <c r="A419">
        <v>418</v>
      </c>
      <c r="B419" s="1">
        <v>45143</v>
      </c>
      <c r="C419" t="s">
        <v>431</v>
      </c>
      <c r="D419" t="s">
        <v>13</v>
      </c>
      <c r="E419" s="2">
        <v>60</v>
      </c>
      <c r="F419" t="s">
        <v>16</v>
      </c>
      <c r="G419" s="2">
        <v>2</v>
      </c>
      <c r="H419" s="3">
        <v>500</v>
      </c>
      <c r="I419" s="3">
        <v>1000</v>
      </c>
      <c r="J419" s="2" t="str">
        <f t="shared" si="6"/>
        <v>55–64</v>
      </c>
      <c r="K419" t="str" cm="1">
        <f t="array" ref="K419">_xlfn.IFS(
  OR(MONTH(B419)=12, MONTH(B419)=1, MONTH(B419)=2), "Winter",
  OR(MONTH(B419)=3, MONTH(B419)=4, MONTH(B419)=5), "Spring",
  OR(MONTH(B419)=6, MONTH(B419)=7, MONTH(B419)=8), "Summer",
  OR(MONTH(B419)=9, MONTH(B419)=10, MONTH(B419)=11), "Fall"
)</f>
        <v>Summer</v>
      </c>
    </row>
    <row r="420" spans="1:11">
      <c r="A420">
        <v>419</v>
      </c>
      <c r="B420" s="1">
        <v>45068</v>
      </c>
      <c r="C420" t="s">
        <v>432</v>
      </c>
      <c r="D420" t="s">
        <v>13</v>
      </c>
      <c r="E420" s="2">
        <v>44</v>
      </c>
      <c r="F420" t="s">
        <v>14</v>
      </c>
      <c r="G420" s="2">
        <v>3</v>
      </c>
      <c r="H420" s="3">
        <v>30</v>
      </c>
      <c r="I420" s="3">
        <v>90</v>
      </c>
      <c r="J420" s="2" t="str">
        <f t="shared" si="6"/>
        <v>35–44</v>
      </c>
      <c r="K420" t="str" cm="1">
        <f t="array" ref="K420">_xlfn.IFS(
  OR(MONTH(B420)=12, MONTH(B420)=1, MONTH(B420)=2), "Winter",
  OR(MONTH(B420)=3, MONTH(B420)=4, MONTH(B420)=5), "Spring",
  OR(MONTH(B420)=6, MONTH(B420)=7, MONTH(B420)=8), "Summer",
  OR(MONTH(B420)=9, MONTH(B420)=10, MONTH(B420)=11), "Fall"
)</f>
        <v>Spring</v>
      </c>
    </row>
    <row r="421" spans="1:11">
      <c r="A421">
        <v>420</v>
      </c>
      <c r="B421" s="1">
        <v>44949</v>
      </c>
      <c r="C421" t="s">
        <v>433</v>
      </c>
      <c r="D421" t="s">
        <v>13</v>
      </c>
      <c r="E421" s="2">
        <v>22</v>
      </c>
      <c r="F421" t="s">
        <v>14</v>
      </c>
      <c r="G421" s="2">
        <v>4</v>
      </c>
      <c r="H421" s="3">
        <v>500</v>
      </c>
      <c r="I421" s="3">
        <v>2000</v>
      </c>
      <c r="J421" s="2" t="str">
        <f t="shared" si="6"/>
        <v>18–24</v>
      </c>
      <c r="K421" t="str" cm="1">
        <f t="array" ref="K421">_xlfn.IFS(
  OR(MONTH(B421)=12, MONTH(B421)=1, MONTH(B421)=2), "Winter",
  OR(MONTH(B421)=3, MONTH(B421)=4, MONTH(B421)=5), "Spring",
  OR(MONTH(B421)=6, MONTH(B421)=7, MONTH(B421)=8), "Summer",
  OR(MONTH(B421)=9, MONTH(B421)=10, MONTH(B421)=11), "Fall"
)</f>
        <v>Winter</v>
      </c>
    </row>
    <row r="422" spans="1:11">
      <c r="A422">
        <v>421</v>
      </c>
      <c r="B422" s="1">
        <v>44928</v>
      </c>
      <c r="C422" t="s">
        <v>434</v>
      </c>
      <c r="D422" t="s">
        <v>13</v>
      </c>
      <c r="E422" s="2">
        <v>37</v>
      </c>
      <c r="F422" t="s">
        <v>14</v>
      </c>
      <c r="G422" s="2">
        <v>3</v>
      </c>
      <c r="H422" s="3">
        <v>500</v>
      </c>
      <c r="I422" s="3">
        <v>1500</v>
      </c>
      <c r="J422" s="2" t="str">
        <f t="shared" si="6"/>
        <v>35–44</v>
      </c>
      <c r="K422" t="str" cm="1">
        <f t="array" ref="K422">_xlfn.IFS(
  OR(MONTH(B422)=12, MONTH(B422)=1, MONTH(B422)=2), "Winter",
  OR(MONTH(B422)=3, MONTH(B422)=4, MONTH(B422)=5), "Spring",
  OR(MONTH(B422)=6, MONTH(B422)=7, MONTH(B422)=8), "Summer",
  OR(MONTH(B422)=9, MONTH(B422)=10, MONTH(B422)=11), "Fall"
)</f>
        <v>Winter</v>
      </c>
    </row>
    <row r="423" spans="1:11">
      <c r="A423">
        <v>422</v>
      </c>
      <c r="B423" s="1">
        <v>45097</v>
      </c>
      <c r="C423" t="s">
        <v>435</v>
      </c>
      <c r="D423" t="s">
        <v>13</v>
      </c>
      <c r="E423" s="2">
        <v>28</v>
      </c>
      <c r="F423" t="s">
        <v>14</v>
      </c>
      <c r="G423" s="2">
        <v>3</v>
      </c>
      <c r="H423" s="3">
        <v>30</v>
      </c>
      <c r="I423" s="3">
        <v>90</v>
      </c>
      <c r="J423" s="2" t="str">
        <f t="shared" si="6"/>
        <v>25–34</v>
      </c>
      <c r="K423" t="str" cm="1">
        <f t="array" ref="K423">_xlfn.IFS(
  OR(MONTH(B423)=12, MONTH(B423)=1, MONTH(B423)=2), "Winter",
  OR(MONTH(B423)=3, MONTH(B423)=4, MONTH(B423)=5), "Spring",
  OR(MONTH(B423)=6, MONTH(B423)=7, MONTH(B423)=8), "Summer",
  OR(MONTH(B423)=9, MONTH(B423)=10, MONTH(B423)=11), "Fall"
)</f>
        <v>Summer</v>
      </c>
    </row>
    <row r="424" spans="1:11">
      <c r="A424">
        <v>423</v>
      </c>
      <c r="B424" s="1">
        <v>44993</v>
      </c>
      <c r="C424" t="s">
        <v>436</v>
      </c>
      <c r="D424" t="s">
        <v>13</v>
      </c>
      <c r="E424" s="2">
        <v>27</v>
      </c>
      <c r="F424" t="s">
        <v>14</v>
      </c>
      <c r="G424" s="2">
        <v>1</v>
      </c>
      <c r="H424" s="3">
        <v>25</v>
      </c>
      <c r="I424" s="3">
        <v>25</v>
      </c>
      <c r="J424" s="2" t="str">
        <f t="shared" si="6"/>
        <v>25–34</v>
      </c>
      <c r="K424" t="str" cm="1">
        <f t="array" ref="K424">_xlfn.IFS(
  OR(MONTH(B424)=12, MONTH(B424)=1, MONTH(B424)=2), "Winter",
  OR(MONTH(B424)=3, MONTH(B424)=4, MONTH(B424)=5), "Spring",
  OR(MONTH(B424)=6, MONTH(B424)=7, MONTH(B424)=8), "Summer",
  OR(MONTH(B424)=9, MONTH(B424)=10, MONTH(B424)=11), "Fall"
)</f>
        <v>Spring</v>
      </c>
    </row>
    <row r="425" spans="1:11">
      <c r="A425">
        <v>424</v>
      </c>
      <c r="B425" s="1">
        <v>45253</v>
      </c>
      <c r="C425" t="s">
        <v>437</v>
      </c>
      <c r="D425" t="s">
        <v>10</v>
      </c>
      <c r="E425" s="2">
        <v>57</v>
      </c>
      <c r="F425" t="s">
        <v>11</v>
      </c>
      <c r="G425" s="2">
        <v>4</v>
      </c>
      <c r="H425" s="3">
        <v>300</v>
      </c>
      <c r="I425" s="3">
        <v>1200</v>
      </c>
      <c r="J425" s="2" t="str">
        <f t="shared" si="6"/>
        <v>55–64</v>
      </c>
      <c r="K425" t="str" cm="1">
        <f t="array" ref="K425">_xlfn.IFS(
  OR(MONTH(B425)=12, MONTH(B425)=1, MONTH(B425)=2), "Winter",
  OR(MONTH(B425)=3, MONTH(B425)=4, MONTH(B425)=5), "Spring",
  OR(MONTH(B425)=6, MONTH(B425)=7, MONTH(B425)=8), "Summer",
  OR(MONTH(B425)=9, MONTH(B425)=10, MONTH(B425)=11), "Fall"
)</f>
        <v>Fall</v>
      </c>
    </row>
    <row r="426" spans="1:11">
      <c r="A426">
        <v>425</v>
      </c>
      <c r="B426" s="1">
        <v>45061</v>
      </c>
      <c r="C426" t="s">
        <v>438</v>
      </c>
      <c r="D426" t="s">
        <v>13</v>
      </c>
      <c r="E426" s="2">
        <v>55</v>
      </c>
      <c r="F426" t="s">
        <v>16</v>
      </c>
      <c r="G426" s="2">
        <v>4</v>
      </c>
      <c r="H426" s="3">
        <v>30</v>
      </c>
      <c r="I426" s="3">
        <v>120</v>
      </c>
      <c r="J426" s="2" t="str">
        <f t="shared" si="6"/>
        <v>55–64</v>
      </c>
      <c r="K426" t="str" cm="1">
        <f t="array" ref="K426">_xlfn.IFS(
  OR(MONTH(B426)=12, MONTH(B426)=1, MONTH(B426)=2), "Winter",
  OR(MONTH(B426)=3, MONTH(B426)=4, MONTH(B426)=5), "Spring",
  OR(MONTH(B426)=6, MONTH(B426)=7, MONTH(B426)=8), "Summer",
  OR(MONTH(B426)=9, MONTH(B426)=10, MONTH(B426)=11), "Fall"
)</f>
        <v>Spring</v>
      </c>
    </row>
    <row r="427" spans="1:11">
      <c r="A427">
        <v>426</v>
      </c>
      <c r="B427" s="1">
        <v>45009</v>
      </c>
      <c r="C427" t="s">
        <v>439</v>
      </c>
      <c r="D427" t="s">
        <v>10</v>
      </c>
      <c r="E427" s="2">
        <v>23</v>
      </c>
      <c r="F427" t="s">
        <v>16</v>
      </c>
      <c r="G427" s="2">
        <v>3</v>
      </c>
      <c r="H427" s="3">
        <v>50</v>
      </c>
      <c r="I427" s="3">
        <v>150</v>
      </c>
      <c r="J427" s="2" t="str">
        <f t="shared" si="6"/>
        <v>18–24</v>
      </c>
      <c r="K427" t="str" cm="1">
        <f t="array" ref="K427">_xlfn.IFS(
  OR(MONTH(B427)=12, MONTH(B427)=1, MONTH(B427)=2), "Winter",
  OR(MONTH(B427)=3, MONTH(B427)=4, MONTH(B427)=5), "Spring",
  OR(MONTH(B427)=6, MONTH(B427)=7, MONTH(B427)=8), "Summer",
  OR(MONTH(B427)=9, MONTH(B427)=10, MONTH(B427)=11), "Fall"
)</f>
        <v>Spring</v>
      </c>
    </row>
    <row r="428" spans="1:11">
      <c r="A428">
        <v>427</v>
      </c>
      <c r="B428" s="1">
        <v>45153</v>
      </c>
      <c r="C428" t="s">
        <v>440</v>
      </c>
      <c r="D428" t="s">
        <v>10</v>
      </c>
      <c r="E428" s="2">
        <v>25</v>
      </c>
      <c r="F428" t="s">
        <v>16</v>
      </c>
      <c r="G428" s="2">
        <v>1</v>
      </c>
      <c r="H428" s="3">
        <v>25</v>
      </c>
      <c r="I428" s="3">
        <v>25</v>
      </c>
      <c r="J428" s="2" t="str">
        <f t="shared" si="6"/>
        <v>25–34</v>
      </c>
      <c r="K428" t="str" cm="1">
        <f t="array" ref="K428">_xlfn.IFS(
  OR(MONTH(B428)=12, MONTH(B428)=1, MONTH(B428)=2), "Winter",
  OR(MONTH(B428)=3, MONTH(B428)=4, MONTH(B428)=5), "Spring",
  OR(MONTH(B428)=6, MONTH(B428)=7, MONTH(B428)=8), "Summer",
  OR(MONTH(B428)=9, MONTH(B428)=10, MONTH(B428)=11), "Fall"
)</f>
        <v>Summer</v>
      </c>
    </row>
    <row r="429" spans="1:11">
      <c r="A429">
        <v>428</v>
      </c>
      <c r="B429" s="1">
        <v>45209</v>
      </c>
      <c r="C429" t="s">
        <v>441</v>
      </c>
      <c r="D429" t="s">
        <v>13</v>
      </c>
      <c r="E429" s="2">
        <v>40</v>
      </c>
      <c r="F429" t="s">
        <v>16</v>
      </c>
      <c r="G429" s="2">
        <v>4</v>
      </c>
      <c r="H429" s="3">
        <v>50</v>
      </c>
      <c r="I429" s="3">
        <v>200</v>
      </c>
      <c r="J429" s="2" t="str">
        <f t="shared" si="6"/>
        <v>35–44</v>
      </c>
      <c r="K429" t="str" cm="1">
        <f t="array" ref="K429">_xlfn.IFS(
  OR(MONTH(B429)=12, MONTH(B429)=1, MONTH(B429)=2), "Winter",
  OR(MONTH(B429)=3, MONTH(B429)=4, MONTH(B429)=5), "Spring",
  OR(MONTH(B429)=6, MONTH(B429)=7, MONTH(B429)=8), "Summer",
  OR(MONTH(B429)=9, MONTH(B429)=10, MONTH(B429)=11), "Fall"
)</f>
        <v>Fall</v>
      </c>
    </row>
    <row r="430" spans="1:11">
      <c r="A430">
        <v>429</v>
      </c>
      <c r="B430" s="1">
        <v>45288</v>
      </c>
      <c r="C430" t="s">
        <v>442</v>
      </c>
      <c r="D430" t="s">
        <v>10</v>
      </c>
      <c r="E430" s="2">
        <v>64</v>
      </c>
      <c r="F430" t="s">
        <v>16</v>
      </c>
      <c r="G430" s="2">
        <v>2</v>
      </c>
      <c r="H430" s="3">
        <v>25</v>
      </c>
      <c r="I430" s="3">
        <v>50</v>
      </c>
      <c r="J430" s="2" t="str">
        <f t="shared" si="6"/>
        <v>55–64</v>
      </c>
      <c r="K430" t="str" cm="1">
        <f t="array" ref="K430">_xlfn.IFS(
  OR(MONTH(B430)=12, MONTH(B430)=1, MONTH(B430)=2), "Winter",
  OR(MONTH(B430)=3, MONTH(B430)=4, MONTH(B430)=5), "Spring",
  OR(MONTH(B430)=6, MONTH(B430)=7, MONTH(B430)=8), "Summer",
  OR(MONTH(B430)=9, MONTH(B430)=10, MONTH(B430)=11), "Fall"
)</f>
        <v>Winter</v>
      </c>
    </row>
    <row r="431" spans="1:11">
      <c r="A431">
        <v>430</v>
      </c>
      <c r="B431" s="1">
        <v>45145</v>
      </c>
      <c r="C431" t="s">
        <v>443</v>
      </c>
      <c r="D431" t="s">
        <v>13</v>
      </c>
      <c r="E431" s="2">
        <v>43</v>
      </c>
      <c r="F431" t="s">
        <v>16</v>
      </c>
      <c r="G431" s="2">
        <v>3</v>
      </c>
      <c r="H431" s="3">
        <v>300</v>
      </c>
      <c r="I431" s="3">
        <v>900</v>
      </c>
      <c r="J431" s="2" t="str">
        <f t="shared" si="6"/>
        <v>35–44</v>
      </c>
      <c r="K431" t="str" cm="1">
        <f t="array" ref="K431">_xlfn.IFS(
  OR(MONTH(B431)=12, MONTH(B431)=1, MONTH(B431)=2), "Winter",
  OR(MONTH(B431)=3, MONTH(B431)=4, MONTH(B431)=5), "Spring",
  OR(MONTH(B431)=6, MONTH(B431)=7, MONTH(B431)=8), "Summer",
  OR(MONTH(B431)=9, MONTH(B431)=10, MONTH(B431)=11), "Fall"
)</f>
        <v>Summer</v>
      </c>
    </row>
    <row r="432" spans="1:11">
      <c r="A432">
        <v>431</v>
      </c>
      <c r="B432" s="1">
        <v>45214</v>
      </c>
      <c r="C432" t="s">
        <v>444</v>
      </c>
      <c r="D432" t="s">
        <v>10</v>
      </c>
      <c r="E432" s="2">
        <v>63</v>
      </c>
      <c r="F432" t="s">
        <v>16</v>
      </c>
      <c r="G432" s="2">
        <v>4</v>
      </c>
      <c r="H432" s="3">
        <v>300</v>
      </c>
      <c r="I432" s="3">
        <v>1200</v>
      </c>
      <c r="J432" s="2" t="str">
        <f t="shared" si="6"/>
        <v>55–64</v>
      </c>
      <c r="K432" t="str" cm="1">
        <f t="array" ref="K432">_xlfn.IFS(
  OR(MONTH(B432)=12, MONTH(B432)=1, MONTH(B432)=2), "Winter",
  OR(MONTH(B432)=3, MONTH(B432)=4, MONTH(B432)=5), "Spring",
  OR(MONTH(B432)=6, MONTH(B432)=7, MONTH(B432)=8), "Summer",
  OR(MONTH(B432)=9, MONTH(B432)=10, MONTH(B432)=11), "Fall"
)</f>
        <v>Fall</v>
      </c>
    </row>
    <row r="433" spans="1:11">
      <c r="A433">
        <v>432</v>
      </c>
      <c r="B433" s="1">
        <v>44931</v>
      </c>
      <c r="C433" t="s">
        <v>445</v>
      </c>
      <c r="D433" t="s">
        <v>13</v>
      </c>
      <c r="E433" s="2">
        <v>60</v>
      </c>
      <c r="F433" t="s">
        <v>16</v>
      </c>
      <c r="G433" s="2">
        <v>2</v>
      </c>
      <c r="H433" s="3">
        <v>500</v>
      </c>
      <c r="I433" s="3">
        <v>1000</v>
      </c>
      <c r="J433" s="2" t="str">
        <f t="shared" si="6"/>
        <v>55–64</v>
      </c>
      <c r="K433" t="str" cm="1">
        <f t="array" ref="K433">_xlfn.IFS(
  OR(MONTH(B433)=12, MONTH(B433)=1, MONTH(B433)=2), "Winter",
  OR(MONTH(B433)=3, MONTH(B433)=4, MONTH(B433)=5), "Spring",
  OR(MONTH(B433)=6, MONTH(B433)=7, MONTH(B433)=8), "Summer",
  OR(MONTH(B433)=9, MONTH(B433)=10, MONTH(B433)=11), "Fall"
)</f>
        <v>Winter</v>
      </c>
    </row>
    <row r="434" spans="1:11">
      <c r="A434">
        <v>433</v>
      </c>
      <c r="B434" s="1">
        <v>44984</v>
      </c>
      <c r="C434" t="s">
        <v>446</v>
      </c>
      <c r="D434" t="s">
        <v>10</v>
      </c>
      <c r="E434" s="2">
        <v>29</v>
      </c>
      <c r="F434" t="s">
        <v>11</v>
      </c>
      <c r="G434" s="2">
        <v>4</v>
      </c>
      <c r="H434" s="3">
        <v>50</v>
      </c>
      <c r="I434" s="3">
        <v>200</v>
      </c>
      <c r="J434" s="2" t="str">
        <f t="shared" si="6"/>
        <v>25–34</v>
      </c>
      <c r="K434" t="str" cm="1">
        <f t="array" ref="K434">_xlfn.IFS(
  OR(MONTH(B434)=12, MONTH(B434)=1, MONTH(B434)=2), "Winter",
  OR(MONTH(B434)=3, MONTH(B434)=4, MONTH(B434)=5), "Spring",
  OR(MONTH(B434)=6, MONTH(B434)=7, MONTH(B434)=8), "Summer",
  OR(MONTH(B434)=9, MONTH(B434)=10, MONTH(B434)=11), "Fall"
)</f>
        <v>Winter</v>
      </c>
    </row>
    <row r="435" spans="1:11">
      <c r="A435">
        <v>434</v>
      </c>
      <c r="B435" s="1">
        <v>44965</v>
      </c>
      <c r="C435" t="s">
        <v>447</v>
      </c>
      <c r="D435" t="s">
        <v>13</v>
      </c>
      <c r="E435" s="2">
        <v>43</v>
      </c>
      <c r="F435" t="s">
        <v>16</v>
      </c>
      <c r="G435" s="2">
        <v>2</v>
      </c>
      <c r="H435" s="3">
        <v>25</v>
      </c>
      <c r="I435" s="3">
        <v>50</v>
      </c>
      <c r="J435" s="2" t="str">
        <f t="shared" si="6"/>
        <v>35–44</v>
      </c>
      <c r="K435" t="str" cm="1">
        <f t="array" ref="K435">_xlfn.IFS(
  OR(MONTH(B435)=12, MONTH(B435)=1, MONTH(B435)=2), "Winter",
  OR(MONTH(B435)=3, MONTH(B435)=4, MONTH(B435)=5), "Spring",
  OR(MONTH(B435)=6, MONTH(B435)=7, MONTH(B435)=8), "Summer",
  OR(MONTH(B435)=9, MONTH(B435)=10, MONTH(B435)=11), "Fall"
)</f>
        <v>Winter</v>
      </c>
    </row>
    <row r="436" spans="1:11">
      <c r="A436">
        <v>435</v>
      </c>
      <c r="B436" s="1">
        <v>45280</v>
      </c>
      <c r="C436" t="s">
        <v>448</v>
      </c>
      <c r="D436" t="s">
        <v>13</v>
      </c>
      <c r="E436" s="2">
        <v>30</v>
      </c>
      <c r="F436" t="s">
        <v>11</v>
      </c>
      <c r="G436" s="2">
        <v>3</v>
      </c>
      <c r="H436" s="3">
        <v>300</v>
      </c>
      <c r="I436" s="3">
        <v>900</v>
      </c>
      <c r="J436" s="2" t="str">
        <f t="shared" si="6"/>
        <v>25–34</v>
      </c>
      <c r="K436" t="str" cm="1">
        <f t="array" ref="K436">_xlfn.IFS(
  OR(MONTH(B436)=12, MONTH(B436)=1, MONTH(B436)=2), "Winter",
  OR(MONTH(B436)=3, MONTH(B436)=4, MONTH(B436)=5), "Spring",
  OR(MONTH(B436)=6, MONTH(B436)=7, MONTH(B436)=8), "Summer",
  OR(MONTH(B436)=9, MONTH(B436)=10, MONTH(B436)=11), "Fall"
)</f>
        <v>Winter</v>
      </c>
    </row>
    <row r="437" spans="1:11">
      <c r="A437">
        <v>436</v>
      </c>
      <c r="B437" s="1">
        <v>45003</v>
      </c>
      <c r="C437" t="s">
        <v>449</v>
      </c>
      <c r="D437" t="s">
        <v>13</v>
      </c>
      <c r="E437" s="2">
        <v>57</v>
      </c>
      <c r="F437" t="s">
        <v>14</v>
      </c>
      <c r="G437" s="2">
        <v>4</v>
      </c>
      <c r="H437" s="3">
        <v>30</v>
      </c>
      <c r="I437" s="3">
        <v>120</v>
      </c>
      <c r="J437" s="2" t="str">
        <f t="shared" si="6"/>
        <v>55–64</v>
      </c>
      <c r="K437" t="str" cm="1">
        <f t="array" ref="K437">_xlfn.IFS(
  OR(MONTH(B437)=12, MONTH(B437)=1, MONTH(B437)=2), "Winter",
  OR(MONTH(B437)=3, MONTH(B437)=4, MONTH(B437)=5), "Spring",
  OR(MONTH(B437)=6, MONTH(B437)=7, MONTH(B437)=8), "Summer",
  OR(MONTH(B437)=9, MONTH(B437)=10, MONTH(B437)=11), "Fall"
)</f>
        <v>Spring</v>
      </c>
    </row>
    <row r="438" spans="1:11">
      <c r="A438">
        <v>437</v>
      </c>
      <c r="B438" s="1">
        <v>45206</v>
      </c>
      <c r="C438" t="s">
        <v>450</v>
      </c>
      <c r="D438" t="s">
        <v>13</v>
      </c>
      <c r="E438" s="2">
        <v>35</v>
      </c>
      <c r="F438" t="s">
        <v>16</v>
      </c>
      <c r="G438" s="2">
        <v>4</v>
      </c>
      <c r="H438" s="3">
        <v>300</v>
      </c>
      <c r="I438" s="3">
        <v>1200</v>
      </c>
      <c r="J438" s="2" t="str">
        <f t="shared" si="6"/>
        <v>35–44</v>
      </c>
      <c r="K438" t="str" cm="1">
        <f t="array" ref="K438">_xlfn.IFS(
  OR(MONTH(B438)=12, MONTH(B438)=1, MONTH(B438)=2), "Winter",
  OR(MONTH(B438)=3, MONTH(B438)=4, MONTH(B438)=5), "Spring",
  OR(MONTH(B438)=6, MONTH(B438)=7, MONTH(B438)=8), "Summer",
  OR(MONTH(B438)=9, MONTH(B438)=10, MONTH(B438)=11), "Fall"
)</f>
        <v>Fall</v>
      </c>
    </row>
    <row r="439" spans="1:11">
      <c r="A439">
        <v>438</v>
      </c>
      <c r="B439" s="1">
        <v>44945</v>
      </c>
      <c r="C439" t="s">
        <v>451</v>
      </c>
      <c r="D439" t="s">
        <v>13</v>
      </c>
      <c r="E439" s="2">
        <v>42</v>
      </c>
      <c r="F439" t="s">
        <v>14</v>
      </c>
      <c r="G439" s="2">
        <v>1</v>
      </c>
      <c r="H439" s="3">
        <v>30</v>
      </c>
      <c r="I439" s="3">
        <v>30</v>
      </c>
      <c r="J439" s="2" t="str">
        <f t="shared" si="6"/>
        <v>35–44</v>
      </c>
      <c r="K439" t="str" cm="1">
        <f t="array" ref="K439">_xlfn.IFS(
  OR(MONTH(B439)=12, MONTH(B439)=1, MONTH(B439)=2), "Winter",
  OR(MONTH(B439)=3, MONTH(B439)=4, MONTH(B439)=5), "Spring",
  OR(MONTH(B439)=6, MONTH(B439)=7, MONTH(B439)=8), "Summer",
  OR(MONTH(B439)=9, MONTH(B439)=10, MONTH(B439)=11), "Fall"
)</f>
        <v>Winter</v>
      </c>
    </row>
    <row r="440" spans="1:11">
      <c r="A440">
        <v>439</v>
      </c>
      <c r="B440" s="1">
        <v>45116</v>
      </c>
      <c r="C440" t="s">
        <v>452</v>
      </c>
      <c r="D440" t="s">
        <v>10</v>
      </c>
      <c r="E440" s="2">
        <v>50</v>
      </c>
      <c r="F440" t="s">
        <v>14</v>
      </c>
      <c r="G440" s="2">
        <v>3</v>
      </c>
      <c r="H440" s="3">
        <v>25</v>
      </c>
      <c r="I440" s="3">
        <v>75</v>
      </c>
      <c r="J440" s="2" t="str">
        <f t="shared" si="6"/>
        <v>45–54</v>
      </c>
      <c r="K440" t="str" cm="1">
        <f t="array" ref="K440">_xlfn.IFS(
  OR(MONTH(B440)=12, MONTH(B440)=1, MONTH(B440)=2), "Winter",
  OR(MONTH(B440)=3, MONTH(B440)=4, MONTH(B440)=5), "Spring",
  OR(MONTH(B440)=6, MONTH(B440)=7, MONTH(B440)=8), "Summer",
  OR(MONTH(B440)=9, MONTH(B440)=10, MONTH(B440)=11), "Fall"
)</f>
        <v>Summer</v>
      </c>
    </row>
    <row r="441" spans="1:11">
      <c r="A441">
        <v>440</v>
      </c>
      <c r="B441" s="1">
        <v>45225</v>
      </c>
      <c r="C441" t="s">
        <v>453</v>
      </c>
      <c r="D441" t="s">
        <v>10</v>
      </c>
      <c r="E441" s="2">
        <v>64</v>
      </c>
      <c r="F441" t="s">
        <v>14</v>
      </c>
      <c r="G441" s="2">
        <v>2</v>
      </c>
      <c r="H441" s="3">
        <v>300</v>
      </c>
      <c r="I441" s="3">
        <v>600</v>
      </c>
      <c r="J441" s="2" t="str">
        <f t="shared" si="6"/>
        <v>55–64</v>
      </c>
      <c r="K441" t="str" cm="1">
        <f t="array" ref="K441">_xlfn.IFS(
  OR(MONTH(B441)=12, MONTH(B441)=1, MONTH(B441)=2), "Winter",
  OR(MONTH(B441)=3, MONTH(B441)=4, MONTH(B441)=5), "Spring",
  OR(MONTH(B441)=6, MONTH(B441)=7, MONTH(B441)=8), "Summer",
  OR(MONTH(B441)=9, MONTH(B441)=10, MONTH(B441)=11), "Fall"
)</f>
        <v>Fall</v>
      </c>
    </row>
    <row r="442" spans="1:11">
      <c r="A442">
        <v>441</v>
      </c>
      <c r="B442" s="1">
        <v>45209</v>
      </c>
      <c r="C442" t="s">
        <v>454</v>
      </c>
      <c r="D442" t="s">
        <v>10</v>
      </c>
      <c r="E442" s="2">
        <v>57</v>
      </c>
      <c r="F442" t="s">
        <v>11</v>
      </c>
      <c r="G442" s="2">
        <v>4</v>
      </c>
      <c r="H442" s="3">
        <v>300</v>
      </c>
      <c r="I442" s="3">
        <v>1200</v>
      </c>
      <c r="J442" s="2" t="str">
        <f t="shared" si="6"/>
        <v>55–64</v>
      </c>
      <c r="K442" t="str" cm="1">
        <f t="array" ref="K442">_xlfn.IFS(
  OR(MONTH(B442)=12, MONTH(B442)=1, MONTH(B442)=2), "Winter",
  OR(MONTH(B442)=3, MONTH(B442)=4, MONTH(B442)=5), "Spring",
  OR(MONTH(B442)=6, MONTH(B442)=7, MONTH(B442)=8), "Summer",
  OR(MONTH(B442)=9, MONTH(B442)=10, MONTH(B442)=11), "Fall"
)</f>
        <v>Fall</v>
      </c>
    </row>
    <row r="443" spans="1:11">
      <c r="A443">
        <v>442</v>
      </c>
      <c r="B443" s="1">
        <v>45002</v>
      </c>
      <c r="C443" t="s">
        <v>455</v>
      </c>
      <c r="D443" t="s">
        <v>13</v>
      </c>
      <c r="E443" s="2">
        <v>60</v>
      </c>
      <c r="F443" t="s">
        <v>14</v>
      </c>
      <c r="G443" s="2">
        <v>4</v>
      </c>
      <c r="H443" s="3">
        <v>25</v>
      </c>
      <c r="I443" s="3">
        <v>100</v>
      </c>
      <c r="J443" s="2" t="str">
        <f t="shared" si="6"/>
        <v>55–64</v>
      </c>
      <c r="K443" t="str" cm="1">
        <f t="array" ref="K443">_xlfn.IFS(
  OR(MONTH(B443)=12, MONTH(B443)=1, MONTH(B443)=2), "Winter",
  OR(MONTH(B443)=3, MONTH(B443)=4, MONTH(B443)=5), "Spring",
  OR(MONTH(B443)=6, MONTH(B443)=7, MONTH(B443)=8), "Summer",
  OR(MONTH(B443)=9, MONTH(B443)=10, MONTH(B443)=11), "Fall"
)</f>
        <v>Spring</v>
      </c>
    </row>
    <row r="444" spans="1:11">
      <c r="A444">
        <v>443</v>
      </c>
      <c r="B444" s="1">
        <v>45147</v>
      </c>
      <c r="C444" t="s">
        <v>456</v>
      </c>
      <c r="D444" t="s">
        <v>10</v>
      </c>
      <c r="E444" s="2">
        <v>29</v>
      </c>
      <c r="F444" t="s">
        <v>14</v>
      </c>
      <c r="G444" s="2">
        <v>2</v>
      </c>
      <c r="H444" s="3">
        <v>300</v>
      </c>
      <c r="I444" s="3">
        <v>600</v>
      </c>
      <c r="J444" s="2" t="str">
        <f t="shared" si="6"/>
        <v>25–34</v>
      </c>
      <c r="K444" t="str" cm="1">
        <f t="array" ref="K444">_xlfn.IFS(
  OR(MONTH(B444)=12, MONTH(B444)=1, MONTH(B444)=2), "Winter",
  OR(MONTH(B444)=3, MONTH(B444)=4, MONTH(B444)=5), "Spring",
  OR(MONTH(B444)=6, MONTH(B444)=7, MONTH(B444)=8), "Summer",
  OR(MONTH(B444)=9, MONTH(B444)=10, MONTH(B444)=11), "Fall"
)</f>
        <v>Summer</v>
      </c>
    </row>
    <row r="445" spans="1:11">
      <c r="A445">
        <v>444</v>
      </c>
      <c r="B445" s="1">
        <v>44992</v>
      </c>
      <c r="C445" t="s">
        <v>457</v>
      </c>
      <c r="D445" t="s">
        <v>13</v>
      </c>
      <c r="E445" s="2">
        <v>61</v>
      </c>
      <c r="F445" t="s">
        <v>14</v>
      </c>
      <c r="G445" s="2">
        <v>3</v>
      </c>
      <c r="H445" s="3">
        <v>30</v>
      </c>
      <c r="I445" s="3">
        <v>90</v>
      </c>
      <c r="J445" s="2" t="str">
        <f t="shared" si="6"/>
        <v>55–64</v>
      </c>
      <c r="K445" t="str" cm="1">
        <f t="array" ref="K445">_xlfn.IFS(
  OR(MONTH(B445)=12, MONTH(B445)=1, MONTH(B445)=2), "Winter",
  OR(MONTH(B445)=3, MONTH(B445)=4, MONTH(B445)=5), "Spring",
  OR(MONTH(B445)=6, MONTH(B445)=7, MONTH(B445)=8), "Summer",
  OR(MONTH(B445)=9, MONTH(B445)=10, MONTH(B445)=11), "Fall"
)</f>
        <v>Spring</v>
      </c>
    </row>
    <row r="446" spans="1:11">
      <c r="A446">
        <v>445</v>
      </c>
      <c r="B446" s="1">
        <v>44948</v>
      </c>
      <c r="C446" t="s">
        <v>458</v>
      </c>
      <c r="D446" t="s">
        <v>13</v>
      </c>
      <c r="E446" s="2">
        <v>53</v>
      </c>
      <c r="F446" t="s">
        <v>16</v>
      </c>
      <c r="G446" s="2">
        <v>1</v>
      </c>
      <c r="H446" s="3">
        <v>300</v>
      </c>
      <c r="I446" s="3">
        <v>300</v>
      </c>
      <c r="J446" s="2" t="str">
        <f t="shared" si="6"/>
        <v>45–54</v>
      </c>
      <c r="K446" t="str" cm="1">
        <f t="array" ref="K446">_xlfn.IFS(
  OR(MONTH(B446)=12, MONTH(B446)=1, MONTH(B446)=2), "Winter",
  OR(MONTH(B446)=3, MONTH(B446)=4, MONTH(B446)=5), "Spring",
  OR(MONTH(B446)=6, MONTH(B446)=7, MONTH(B446)=8), "Summer",
  OR(MONTH(B446)=9, MONTH(B446)=10, MONTH(B446)=11), "Fall"
)</f>
        <v>Winter</v>
      </c>
    </row>
    <row r="447" spans="1:11">
      <c r="A447">
        <v>446</v>
      </c>
      <c r="B447" s="1">
        <v>45084</v>
      </c>
      <c r="C447" t="s">
        <v>459</v>
      </c>
      <c r="D447" t="s">
        <v>10</v>
      </c>
      <c r="E447" s="2">
        <v>21</v>
      </c>
      <c r="F447" t="s">
        <v>16</v>
      </c>
      <c r="G447" s="2">
        <v>1</v>
      </c>
      <c r="H447" s="3">
        <v>50</v>
      </c>
      <c r="I447" s="3">
        <v>50</v>
      </c>
      <c r="J447" s="2" t="str">
        <f t="shared" si="6"/>
        <v>18–24</v>
      </c>
      <c r="K447" t="str" cm="1">
        <f t="array" ref="K447">_xlfn.IFS(
  OR(MONTH(B447)=12, MONTH(B447)=1, MONTH(B447)=2), "Winter",
  OR(MONTH(B447)=3, MONTH(B447)=4, MONTH(B447)=5), "Spring",
  OR(MONTH(B447)=6, MONTH(B447)=7, MONTH(B447)=8), "Summer",
  OR(MONTH(B447)=9, MONTH(B447)=10, MONTH(B447)=11), "Fall"
)</f>
        <v>Summer</v>
      </c>
    </row>
    <row r="448" spans="1:11">
      <c r="A448">
        <v>447</v>
      </c>
      <c r="B448" s="1">
        <v>45113</v>
      </c>
      <c r="C448" t="s">
        <v>460</v>
      </c>
      <c r="D448" t="s">
        <v>10</v>
      </c>
      <c r="E448" s="2">
        <v>22</v>
      </c>
      <c r="F448" t="s">
        <v>11</v>
      </c>
      <c r="G448" s="2">
        <v>4</v>
      </c>
      <c r="H448" s="3">
        <v>500</v>
      </c>
      <c r="I448" s="3">
        <v>2000</v>
      </c>
      <c r="J448" s="2" t="str">
        <f t="shared" si="6"/>
        <v>18–24</v>
      </c>
      <c r="K448" t="str" cm="1">
        <f t="array" ref="K448">_xlfn.IFS(
  OR(MONTH(B448)=12, MONTH(B448)=1, MONTH(B448)=2), "Winter",
  OR(MONTH(B448)=3, MONTH(B448)=4, MONTH(B448)=5), "Spring",
  OR(MONTH(B448)=6, MONTH(B448)=7, MONTH(B448)=8), "Summer",
  OR(MONTH(B448)=9, MONTH(B448)=10, MONTH(B448)=11), "Fall"
)</f>
        <v>Summer</v>
      </c>
    </row>
    <row r="449" spans="1:11">
      <c r="A449">
        <v>448</v>
      </c>
      <c r="B449" s="1">
        <v>44947</v>
      </c>
      <c r="C449" t="s">
        <v>461</v>
      </c>
      <c r="D449" t="s">
        <v>13</v>
      </c>
      <c r="E449" s="2">
        <v>54</v>
      </c>
      <c r="F449" t="s">
        <v>11</v>
      </c>
      <c r="G449" s="2">
        <v>2</v>
      </c>
      <c r="H449" s="3">
        <v>30</v>
      </c>
      <c r="I449" s="3">
        <v>60</v>
      </c>
      <c r="J449" s="2" t="str">
        <f t="shared" si="6"/>
        <v>45–54</v>
      </c>
      <c r="K449" t="str" cm="1">
        <f t="array" ref="K449">_xlfn.IFS(
  OR(MONTH(B449)=12, MONTH(B449)=1, MONTH(B449)=2), "Winter",
  OR(MONTH(B449)=3, MONTH(B449)=4, MONTH(B449)=5), "Spring",
  OR(MONTH(B449)=6, MONTH(B449)=7, MONTH(B449)=8), "Summer",
  OR(MONTH(B449)=9, MONTH(B449)=10, MONTH(B449)=11), "Fall"
)</f>
        <v>Winter</v>
      </c>
    </row>
    <row r="450" spans="1:11">
      <c r="A450">
        <v>449</v>
      </c>
      <c r="B450" s="1">
        <v>45110</v>
      </c>
      <c r="C450" t="s">
        <v>462</v>
      </c>
      <c r="D450" t="s">
        <v>10</v>
      </c>
      <c r="E450" s="2">
        <v>25</v>
      </c>
      <c r="F450" t="s">
        <v>16</v>
      </c>
      <c r="G450" s="2">
        <v>4</v>
      </c>
      <c r="H450" s="3">
        <v>50</v>
      </c>
      <c r="I450" s="3">
        <v>200</v>
      </c>
      <c r="J450" s="2" t="str">
        <f t="shared" ref="J450:J513" si="7">IF(AND(E450&gt;=18, E450&lt;=24), "18–24",
 IF(AND(E450&gt;=25, E450&lt;=34), "25–34",
 IF(AND(E450&gt;=35, E450&lt;=44), "35–44",
 IF(AND(E450&gt;=45, E450&lt;=54), "45–54",
 IF(AND(E450&gt;=55, E450&lt;=64), "55–64", "Other")))))</f>
        <v>25–34</v>
      </c>
      <c r="K450" t="str" cm="1">
        <f t="array" ref="K450">_xlfn.IFS(
  OR(MONTH(B450)=12, MONTH(B450)=1, MONTH(B450)=2), "Winter",
  OR(MONTH(B450)=3, MONTH(B450)=4, MONTH(B450)=5), "Spring",
  OR(MONTH(B450)=6, MONTH(B450)=7, MONTH(B450)=8), "Summer",
  OR(MONTH(B450)=9, MONTH(B450)=10, MONTH(B450)=11), "Fall"
)</f>
        <v>Summer</v>
      </c>
    </row>
    <row r="451" spans="1:11">
      <c r="A451">
        <v>450</v>
      </c>
      <c r="B451" s="1">
        <v>45034</v>
      </c>
      <c r="C451" t="s">
        <v>463</v>
      </c>
      <c r="D451" t="s">
        <v>13</v>
      </c>
      <c r="E451" s="2">
        <v>59</v>
      </c>
      <c r="F451" t="s">
        <v>11</v>
      </c>
      <c r="G451" s="2">
        <v>2</v>
      </c>
      <c r="H451" s="3">
        <v>25</v>
      </c>
      <c r="I451" s="3">
        <v>50</v>
      </c>
      <c r="J451" s="2" t="str">
        <f t="shared" si="7"/>
        <v>55–64</v>
      </c>
      <c r="K451" t="str" cm="1">
        <f t="array" ref="K451">_xlfn.IFS(
  OR(MONTH(B451)=12, MONTH(B451)=1, MONTH(B451)=2), "Winter",
  OR(MONTH(B451)=3, MONTH(B451)=4, MONTH(B451)=5), "Spring",
  OR(MONTH(B451)=6, MONTH(B451)=7, MONTH(B451)=8), "Summer",
  OR(MONTH(B451)=9, MONTH(B451)=10, MONTH(B451)=11), "Fall"
)</f>
        <v>Spring</v>
      </c>
    </row>
    <row r="452" spans="1:11">
      <c r="A452">
        <v>451</v>
      </c>
      <c r="B452" s="1">
        <v>45276</v>
      </c>
      <c r="C452" t="s">
        <v>464</v>
      </c>
      <c r="D452" t="s">
        <v>13</v>
      </c>
      <c r="E452" s="2">
        <v>45</v>
      </c>
      <c r="F452" t="s">
        <v>16</v>
      </c>
      <c r="G452" s="2">
        <v>1</v>
      </c>
      <c r="H452" s="3">
        <v>30</v>
      </c>
      <c r="I452" s="3">
        <v>30</v>
      </c>
      <c r="J452" s="2" t="str">
        <f t="shared" si="7"/>
        <v>45–54</v>
      </c>
      <c r="K452" t="str" cm="1">
        <f t="array" ref="K452">_xlfn.IFS(
  OR(MONTH(B452)=12, MONTH(B452)=1, MONTH(B452)=2), "Winter",
  OR(MONTH(B452)=3, MONTH(B452)=4, MONTH(B452)=5), "Spring",
  OR(MONTH(B452)=6, MONTH(B452)=7, MONTH(B452)=8), "Summer",
  OR(MONTH(B452)=9, MONTH(B452)=10, MONTH(B452)=11), "Fall"
)</f>
        <v>Winter</v>
      </c>
    </row>
    <row r="453" spans="1:11">
      <c r="A453">
        <v>452</v>
      </c>
      <c r="B453" s="1">
        <v>45054</v>
      </c>
      <c r="C453" t="s">
        <v>465</v>
      </c>
      <c r="D453" t="s">
        <v>13</v>
      </c>
      <c r="E453" s="2">
        <v>48</v>
      </c>
      <c r="F453" t="s">
        <v>14</v>
      </c>
      <c r="G453" s="2">
        <v>3</v>
      </c>
      <c r="H453" s="3">
        <v>500</v>
      </c>
      <c r="I453" s="3">
        <v>1500</v>
      </c>
      <c r="J453" s="2" t="str">
        <f t="shared" si="7"/>
        <v>45–54</v>
      </c>
      <c r="K453" t="str" cm="1">
        <f t="array" ref="K453">_xlfn.IFS(
  OR(MONTH(B453)=12, MONTH(B453)=1, MONTH(B453)=2), "Winter",
  OR(MONTH(B453)=3, MONTH(B453)=4, MONTH(B453)=5), "Spring",
  OR(MONTH(B453)=6, MONTH(B453)=7, MONTH(B453)=8), "Summer",
  OR(MONTH(B453)=9, MONTH(B453)=10, MONTH(B453)=11), "Fall"
)</f>
        <v>Spring</v>
      </c>
    </row>
    <row r="454" spans="1:11">
      <c r="A454">
        <v>453</v>
      </c>
      <c r="B454" s="1">
        <v>45268</v>
      </c>
      <c r="C454" t="s">
        <v>466</v>
      </c>
      <c r="D454" t="s">
        <v>13</v>
      </c>
      <c r="E454" s="2">
        <v>26</v>
      </c>
      <c r="F454" t="s">
        <v>14</v>
      </c>
      <c r="G454" s="2">
        <v>2</v>
      </c>
      <c r="H454" s="3">
        <v>500</v>
      </c>
      <c r="I454" s="3">
        <v>1000</v>
      </c>
      <c r="J454" s="2" t="str">
        <f t="shared" si="7"/>
        <v>25–34</v>
      </c>
      <c r="K454" t="str" cm="1">
        <f t="array" ref="K454">_xlfn.IFS(
  OR(MONTH(B454)=12, MONTH(B454)=1, MONTH(B454)=2), "Winter",
  OR(MONTH(B454)=3, MONTH(B454)=4, MONTH(B454)=5), "Spring",
  OR(MONTH(B454)=6, MONTH(B454)=7, MONTH(B454)=8), "Summer",
  OR(MONTH(B454)=9, MONTH(B454)=10, MONTH(B454)=11), "Fall"
)</f>
        <v>Winter</v>
      </c>
    </row>
    <row r="455" spans="1:11">
      <c r="A455">
        <v>454</v>
      </c>
      <c r="B455" s="1">
        <v>44979</v>
      </c>
      <c r="C455" t="s">
        <v>467</v>
      </c>
      <c r="D455" t="s">
        <v>13</v>
      </c>
      <c r="E455" s="2">
        <v>46</v>
      </c>
      <c r="F455" t="s">
        <v>11</v>
      </c>
      <c r="G455" s="2">
        <v>1</v>
      </c>
      <c r="H455" s="3">
        <v>25</v>
      </c>
      <c r="I455" s="3">
        <v>25</v>
      </c>
      <c r="J455" s="2" t="str">
        <f t="shared" si="7"/>
        <v>45–54</v>
      </c>
      <c r="K455" t="str" cm="1">
        <f t="array" ref="K455">_xlfn.IFS(
  OR(MONTH(B455)=12, MONTH(B455)=1, MONTH(B455)=2), "Winter",
  OR(MONTH(B455)=3, MONTH(B455)=4, MONTH(B455)=5), "Spring",
  OR(MONTH(B455)=6, MONTH(B455)=7, MONTH(B455)=8), "Summer",
  OR(MONTH(B455)=9, MONTH(B455)=10, MONTH(B455)=11), "Fall"
)</f>
        <v>Winter</v>
      </c>
    </row>
    <row r="456" spans="1:11">
      <c r="A456">
        <v>455</v>
      </c>
      <c r="B456" s="1">
        <v>45108</v>
      </c>
      <c r="C456" t="s">
        <v>468</v>
      </c>
      <c r="D456" t="s">
        <v>10</v>
      </c>
      <c r="E456" s="2">
        <v>31</v>
      </c>
      <c r="F456" t="s">
        <v>16</v>
      </c>
      <c r="G456" s="2">
        <v>4</v>
      </c>
      <c r="H456" s="3">
        <v>25</v>
      </c>
      <c r="I456" s="3">
        <v>100</v>
      </c>
      <c r="J456" s="2" t="str">
        <f t="shared" si="7"/>
        <v>25–34</v>
      </c>
      <c r="K456" t="str" cm="1">
        <f t="array" ref="K456">_xlfn.IFS(
  OR(MONTH(B456)=12, MONTH(B456)=1, MONTH(B456)=2), "Winter",
  OR(MONTH(B456)=3, MONTH(B456)=4, MONTH(B456)=5), "Spring",
  OR(MONTH(B456)=6, MONTH(B456)=7, MONTH(B456)=8), "Summer",
  OR(MONTH(B456)=9, MONTH(B456)=10, MONTH(B456)=11), "Fall"
)</f>
        <v>Summer</v>
      </c>
    </row>
    <row r="457" spans="1:11">
      <c r="A457">
        <v>456</v>
      </c>
      <c r="B457" s="1">
        <v>45213</v>
      </c>
      <c r="C457" t="s">
        <v>469</v>
      </c>
      <c r="D457" t="s">
        <v>10</v>
      </c>
      <c r="E457" s="2">
        <v>57</v>
      </c>
      <c r="F457" t="s">
        <v>16</v>
      </c>
      <c r="G457" s="2">
        <v>2</v>
      </c>
      <c r="H457" s="3">
        <v>30</v>
      </c>
      <c r="I457" s="3">
        <v>60</v>
      </c>
      <c r="J457" s="2" t="str">
        <f t="shared" si="7"/>
        <v>55–64</v>
      </c>
      <c r="K457" t="str" cm="1">
        <f t="array" ref="K457">_xlfn.IFS(
  OR(MONTH(B457)=12, MONTH(B457)=1, MONTH(B457)=2), "Winter",
  OR(MONTH(B457)=3, MONTH(B457)=4, MONTH(B457)=5), "Spring",
  OR(MONTH(B457)=6, MONTH(B457)=7, MONTH(B457)=8), "Summer",
  OR(MONTH(B457)=9, MONTH(B457)=10, MONTH(B457)=11), "Fall"
)</f>
        <v>Fall</v>
      </c>
    </row>
    <row r="458" spans="1:11">
      <c r="A458">
        <v>457</v>
      </c>
      <c r="B458" s="1">
        <v>45135</v>
      </c>
      <c r="C458" t="s">
        <v>470</v>
      </c>
      <c r="D458" t="s">
        <v>13</v>
      </c>
      <c r="E458" s="2">
        <v>58</v>
      </c>
      <c r="F458" t="s">
        <v>11</v>
      </c>
      <c r="G458" s="2">
        <v>3</v>
      </c>
      <c r="H458" s="3">
        <v>300</v>
      </c>
      <c r="I458" s="3">
        <v>900</v>
      </c>
      <c r="J458" s="2" t="str">
        <f t="shared" si="7"/>
        <v>55–64</v>
      </c>
      <c r="K458" t="str" cm="1">
        <f t="array" ref="K458">_xlfn.IFS(
  OR(MONTH(B458)=12, MONTH(B458)=1, MONTH(B458)=2), "Winter",
  OR(MONTH(B458)=3, MONTH(B458)=4, MONTH(B458)=5), "Spring",
  OR(MONTH(B458)=6, MONTH(B458)=7, MONTH(B458)=8), "Summer",
  OR(MONTH(B458)=9, MONTH(B458)=10, MONTH(B458)=11), "Fall"
)</f>
        <v>Summer</v>
      </c>
    </row>
    <row r="459" spans="1:11">
      <c r="A459">
        <v>458</v>
      </c>
      <c r="B459" s="1">
        <v>45244</v>
      </c>
      <c r="C459" t="s">
        <v>471</v>
      </c>
      <c r="D459" t="s">
        <v>13</v>
      </c>
      <c r="E459" s="2">
        <v>39</v>
      </c>
      <c r="F459" t="s">
        <v>16</v>
      </c>
      <c r="G459" s="2">
        <v>4</v>
      </c>
      <c r="H459" s="3">
        <v>25</v>
      </c>
      <c r="I459" s="3">
        <v>100</v>
      </c>
      <c r="J459" s="2" t="str">
        <f t="shared" si="7"/>
        <v>35–44</v>
      </c>
      <c r="K459" t="str" cm="1">
        <f t="array" ref="K459">_xlfn.IFS(
  OR(MONTH(B459)=12, MONTH(B459)=1, MONTH(B459)=2), "Winter",
  OR(MONTH(B459)=3, MONTH(B459)=4, MONTH(B459)=5), "Spring",
  OR(MONTH(B459)=6, MONTH(B459)=7, MONTH(B459)=8), "Summer",
  OR(MONTH(B459)=9, MONTH(B459)=10, MONTH(B459)=11), "Fall"
)</f>
        <v>Fall</v>
      </c>
    </row>
    <row r="460" spans="1:11">
      <c r="A460">
        <v>459</v>
      </c>
      <c r="B460" s="1">
        <v>45006</v>
      </c>
      <c r="C460" t="s">
        <v>472</v>
      </c>
      <c r="D460" t="s">
        <v>10</v>
      </c>
      <c r="E460" s="2">
        <v>28</v>
      </c>
      <c r="F460" t="s">
        <v>14</v>
      </c>
      <c r="G460" s="2">
        <v>4</v>
      </c>
      <c r="H460" s="3">
        <v>300</v>
      </c>
      <c r="I460" s="3">
        <v>1200</v>
      </c>
      <c r="J460" s="2" t="str">
        <f t="shared" si="7"/>
        <v>25–34</v>
      </c>
      <c r="K460" t="str" cm="1">
        <f t="array" ref="K460">_xlfn.IFS(
  OR(MONTH(B460)=12, MONTH(B460)=1, MONTH(B460)=2), "Winter",
  OR(MONTH(B460)=3, MONTH(B460)=4, MONTH(B460)=5), "Spring",
  OR(MONTH(B460)=6, MONTH(B460)=7, MONTH(B460)=8), "Summer",
  OR(MONTH(B460)=9, MONTH(B460)=10, MONTH(B460)=11), "Fall"
)</f>
        <v>Spring</v>
      </c>
    </row>
    <row r="461" spans="1:11">
      <c r="A461">
        <v>460</v>
      </c>
      <c r="B461" s="1">
        <v>45048</v>
      </c>
      <c r="C461" t="s">
        <v>473</v>
      </c>
      <c r="D461" t="s">
        <v>10</v>
      </c>
      <c r="E461" s="2">
        <v>40</v>
      </c>
      <c r="F461" t="s">
        <v>11</v>
      </c>
      <c r="G461" s="2">
        <v>1</v>
      </c>
      <c r="H461" s="3">
        <v>50</v>
      </c>
      <c r="I461" s="3">
        <v>50</v>
      </c>
      <c r="J461" s="2" t="str">
        <f t="shared" si="7"/>
        <v>35–44</v>
      </c>
      <c r="K461" t="str" cm="1">
        <f t="array" ref="K461">_xlfn.IFS(
  OR(MONTH(B461)=12, MONTH(B461)=1, MONTH(B461)=2), "Winter",
  OR(MONTH(B461)=3, MONTH(B461)=4, MONTH(B461)=5), "Spring",
  OR(MONTH(B461)=6, MONTH(B461)=7, MONTH(B461)=8), "Summer",
  OR(MONTH(B461)=9, MONTH(B461)=10, MONTH(B461)=11), "Fall"
)</f>
        <v>Spring</v>
      </c>
    </row>
    <row r="462" spans="1:11">
      <c r="A462">
        <v>461</v>
      </c>
      <c r="B462" s="1">
        <v>45010</v>
      </c>
      <c r="C462" t="s">
        <v>474</v>
      </c>
      <c r="D462" t="s">
        <v>13</v>
      </c>
      <c r="E462" s="2">
        <v>18</v>
      </c>
      <c r="F462" t="s">
        <v>11</v>
      </c>
      <c r="G462" s="2">
        <v>2</v>
      </c>
      <c r="H462" s="3">
        <v>500</v>
      </c>
      <c r="I462" s="3">
        <v>1000</v>
      </c>
      <c r="J462" s="2" t="str">
        <f t="shared" si="7"/>
        <v>18–24</v>
      </c>
      <c r="K462" t="str" cm="1">
        <f t="array" ref="K462">_xlfn.IFS(
  OR(MONTH(B462)=12, MONTH(B462)=1, MONTH(B462)=2), "Winter",
  OR(MONTH(B462)=3, MONTH(B462)=4, MONTH(B462)=5), "Spring",
  OR(MONTH(B462)=6, MONTH(B462)=7, MONTH(B462)=8), "Summer",
  OR(MONTH(B462)=9, MONTH(B462)=10, MONTH(B462)=11), "Fall"
)</f>
        <v>Spring</v>
      </c>
    </row>
    <row r="463" spans="1:11">
      <c r="A463">
        <v>462</v>
      </c>
      <c r="B463" s="1">
        <v>45017</v>
      </c>
      <c r="C463" t="s">
        <v>475</v>
      </c>
      <c r="D463" t="s">
        <v>10</v>
      </c>
      <c r="E463" s="2">
        <v>63</v>
      </c>
      <c r="F463" t="s">
        <v>16</v>
      </c>
      <c r="G463" s="2">
        <v>4</v>
      </c>
      <c r="H463" s="3">
        <v>300</v>
      </c>
      <c r="I463" s="3">
        <v>1200</v>
      </c>
      <c r="J463" s="2" t="str">
        <f t="shared" si="7"/>
        <v>55–64</v>
      </c>
      <c r="K463" t="str" cm="1">
        <f t="array" ref="K463">_xlfn.IFS(
  OR(MONTH(B463)=12, MONTH(B463)=1, MONTH(B463)=2), "Winter",
  OR(MONTH(B463)=3, MONTH(B463)=4, MONTH(B463)=5), "Spring",
  OR(MONTH(B463)=6, MONTH(B463)=7, MONTH(B463)=8), "Summer",
  OR(MONTH(B463)=9, MONTH(B463)=10, MONTH(B463)=11), "Fall"
)</f>
        <v>Spring</v>
      </c>
    </row>
    <row r="464" spans="1:11">
      <c r="A464">
        <v>463</v>
      </c>
      <c r="B464" s="1">
        <v>45138</v>
      </c>
      <c r="C464" t="s">
        <v>476</v>
      </c>
      <c r="D464" t="s">
        <v>13</v>
      </c>
      <c r="E464" s="2">
        <v>54</v>
      </c>
      <c r="F464" t="s">
        <v>11</v>
      </c>
      <c r="G464" s="2">
        <v>3</v>
      </c>
      <c r="H464" s="3">
        <v>500</v>
      </c>
      <c r="I464" s="3">
        <v>1500</v>
      </c>
      <c r="J464" s="2" t="str">
        <f t="shared" si="7"/>
        <v>45–54</v>
      </c>
      <c r="K464" t="str" cm="1">
        <f t="array" ref="K464">_xlfn.IFS(
  OR(MONTH(B464)=12, MONTH(B464)=1, MONTH(B464)=2), "Winter",
  OR(MONTH(B464)=3, MONTH(B464)=4, MONTH(B464)=5), "Spring",
  OR(MONTH(B464)=6, MONTH(B464)=7, MONTH(B464)=8), "Summer",
  OR(MONTH(B464)=9, MONTH(B464)=10, MONTH(B464)=11), "Fall"
)</f>
        <v>Summer</v>
      </c>
    </row>
    <row r="465" spans="1:11">
      <c r="A465">
        <v>464</v>
      </c>
      <c r="B465" s="1">
        <v>44939</v>
      </c>
      <c r="C465" t="s">
        <v>477</v>
      </c>
      <c r="D465" t="s">
        <v>10</v>
      </c>
      <c r="E465" s="2">
        <v>38</v>
      </c>
      <c r="F465" t="s">
        <v>16</v>
      </c>
      <c r="G465" s="2">
        <v>2</v>
      </c>
      <c r="H465" s="3">
        <v>300</v>
      </c>
      <c r="I465" s="3">
        <v>600</v>
      </c>
      <c r="J465" s="2" t="str">
        <f t="shared" si="7"/>
        <v>35–44</v>
      </c>
      <c r="K465" t="str" cm="1">
        <f t="array" ref="K465">_xlfn.IFS(
  OR(MONTH(B465)=12, MONTH(B465)=1, MONTH(B465)=2), "Winter",
  OR(MONTH(B465)=3, MONTH(B465)=4, MONTH(B465)=5), "Spring",
  OR(MONTH(B465)=6, MONTH(B465)=7, MONTH(B465)=8), "Summer",
  OR(MONTH(B465)=9, MONTH(B465)=10, MONTH(B465)=11), "Fall"
)</f>
        <v>Winter</v>
      </c>
    </row>
    <row r="466" spans="1:11">
      <c r="A466">
        <v>465</v>
      </c>
      <c r="B466" s="1">
        <v>45018</v>
      </c>
      <c r="C466" t="s">
        <v>478</v>
      </c>
      <c r="D466" t="s">
        <v>13</v>
      </c>
      <c r="E466" s="2">
        <v>43</v>
      </c>
      <c r="F466" t="s">
        <v>16</v>
      </c>
      <c r="G466" s="2">
        <v>3</v>
      </c>
      <c r="H466" s="3">
        <v>50</v>
      </c>
      <c r="I466" s="3">
        <v>150</v>
      </c>
      <c r="J466" s="2" t="str">
        <f t="shared" si="7"/>
        <v>35–44</v>
      </c>
      <c r="K466" t="str" cm="1">
        <f t="array" ref="K466">_xlfn.IFS(
  OR(MONTH(B466)=12, MONTH(B466)=1, MONTH(B466)=2), "Winter",
  OR(MONTH(B466)=3, MONTH(B466)=4, MONTH(B466)=5), "Spring",
  OR(MONTH(B466)=6, MONTH(B466)=7, MONTH(B466)=8), "Summer",
  OR(MONTH(B466)=9, MONTH(B466)=10, MONTH(B466)=11), "Fall"
)</f>
        <v>Spring</v>
      </c>
    </row>
    <row r="467" spans="1:11">
      <c r="A467">
        <v>466</v>
      </c>
      <c r="B467" s="1">
        <v>45097</v>
      </c>
      <c r="C467" t="s">
        <v>479</v>
      </c>
      <c r="D467" t="s">
        <v>10</v>
      </c>
      <c r="E467" s="2">
        <v>63</v>
      </c>
      <c r="F467" t="s">
        <v>16</v>
      </c>
      <c r="G467" s="2">
        <v>4</v>
      </c>
      <c r="H467" s="3">
        <v>25</v>
      </c>
      <c r="I467" s="3">
        <v>100</v>
      </c>
      <c r="J467" s="2" t="str">
        <f t="shared" si="7"/>
        <v>55–64</v>
      </c>
      <c r="K467" t="str" cm="1">
        <f t="array" ref="K467">_xlfn.IFS(
  OR(MONTH(B467)=12, MONTH(B467)=1, MONTH(B467)=2), "Winter",
  OR(MONTH(B467)=3, MONTH(B467)=4, MONTH(B467)=5), "Spring",
  OR(MONTH(B467)=6, MONTH(B467)=7, MONTH(B467)=8), "Summer",
  OR(MONTH(B467)=9, MONTH(B467)=10, MONTH(B467)=11), "Fall"
)</f>
        <v>Summer</v>
      </c>
    </row>
    <row r="468" spans="1:11">
      <c r="A468">
        <v>467</v>
      </c>
      <c r="B468" s="1">
        <v>45137</v>
      </c>
      <c r="C468" t="s">
        <v>480</v>
      </c>
      <c r="D468" t="s">
        <v>13</v>
      </c>
      <c r="E468" s="2">
        <v>53</v>
      </c>
      <c r="F468" t="s">
        <v>16</v>
      </c>
      <c r="G468" s="2">
        <v>3</v>
      </c>
      <c r="H468" s="3">
        <v>50</v>
      </c>
      <c r="I468" s="3">
        <v>150</v>
      </c>
      <c r="J468" s="2" t="str">
        <f t="shared" si="7"/>
        <v>45–54</v>
      </c>
      <c r="K468" t="str" cm="1">
        <f t="array" ref="K468">_xlfn.IFS(
  OR(MONTH(B468)=12, MONTH(B468)=1, MONTH(B468)=2), "Winter",
  OR(MONTH(B468)=3, MONTH(B468)=4, MONTH(B468)=5), "Spring",
  OR(MONTH(B468)=6, MONTH(B468)=7, MONTH(B468)=8), "Summer",
  OR(MONTH(B468)=9, MONTH(B468)=10, MONTH(B468)=11), "Fall"
)</f>
        <v>Summer</v>
      </c>
    </row>
    <row r="469" spans="1:11">
      <c r="A469">
        <v>468</v>
      </c>
      <c r="B469" s="1">
        <v>45269</v>
      </c>
      <c r="C469" t="s">
        <v>481</v>
      </c>
      <c r="D469" t="s">
        <v>10</v>
      </c>
      <c r="E469" s="2">
        <v>40</v>
      </c>
      <c r="F469" t="s">
        <v>16</v>
      </c>
      <c r="G469" s="2">
        <v>1</v>
      </c>
      <c r="H469" s="3">
        <v>25</v>
      </c>
      <c r="I469" s="3">
        <v>25</v>
      </c>
      <c r="J469" s="2" t="str">
        <f t="shared" si="7"/>
        <v>35–44</v>
      </c>
      <c r="K469" t="str" cm="1">
        <f t="array" ref="K469">_xlfn.IFS(
  OR(MONTH(B469)=12, MONTH(B469)=1, MONTH(B469)=2), "Winter",
  OR(MONTH(B469)=3, MONTH(B469)=4, MONTH(B469)=5), "Spring",
  OR(MONTH(B469)=6, MONTH(B469)=7, MONTH(B469)=8), "Summer",
  OR(MONTH(B469)=9, MONTH(B469)=10, MONTH(B469)=11), "Fall"
)</f>
        <v>Winter</v>
      </c>
    </row>
    <row r="470" spans="1:11">
      <c r="A470">
        <v>469</v>
      </c>
      <c r="B470" s="1">
        <v>45054</v>
      </c>
      <c r="C470" t="s">
        <v>482</v>
      </c>
      <c r="D470" t="s">
        <v>10</v>
      </c>
      <c r="E470" s="2">
        <v>18</v>
      </c>
      <c r="F470" t="s">
        <v>11</v>
      </c>
      <c r="G470" s="2">
        <v>3</v>
      </c>
      <c r="H470" s="3">
        <v>25</v>
      </c>
      <c r="I470" s="3">
        <v>75</v>
      </c>
      <c r="J470" s="2" t="str">
        <f t="shared" si="7"/>
        <v>18–24</v>
      </c>
      <c r="K470" t="str" cm="1">
        <f t="array" ref="K470">_xlfn.IFS(
  OR(MONTH(B470)=12, MONTH(B470)=1, MONTH(B470)=2), "Winter",
  OR(MONTH(B470)=3, MONTH(B470)=4, MONTH(B470)=5), "Spring",
  OR(MONTH(B470)=6, MONTH(B470)=7, MONTH(B470)=8), "Summer",
  OR(MONTH(B470)=9, MONTH(B470)=10, MONTH(B470)=11), "Fall"
)</f>
        <v>Spring</v>
      </c>
    </row>
    <row r="471" spans="1:11">
      <c r="A471">
        <v>470</v>
      </c>
      <c r="B471" s="1">
        <v>45063</v>
      </c>
      <c r="C471" t="s">
        <v>483</v>
      </c>
      <c r="D471" t="s">
        <v>13</v>
      </c>
      <c r="E471" s="2">
        <v>57</v>
      </c>
      <c r="F471" t="s">
        <v>14</v>
      </c>
      <c r="G471" s="2">
        <v>2</v>
      </c>
      <c r="H471" s="3">
        <v>500</v>
      </c>
      <c r="I471" s="3">
        <v>1000</v>
      </c>
      <c r="J471" s="2" t="str">
        <f t="shared" si="7"/>
        <v>55–64</v>
      </c>
      <c r="K471" t="str" cm="1">
        <f t="array" ref="K471">_xlfn.IFS(
  OR(MONTH(B471)=12, MONTH(B471)=1, MONTH(B471)=2), "Winter",
  OR(MONTH(B471)=3, MONTH(B471)=4, MONTH(B471)=5), "Spring",
  OR(MONTH(B471)=6, MONTH(B471)=7, MONTH(B471)=8), "Summer",
  OR(MONTH(B471)=9, MONTH(B471)=10, MONTH(B471)=11), "Fall"
)</f>
        <v>Spring</v>
      </c>
    </row>
    <row r="472" spans="1:11">
      <c r="A472">
        <v>471</v>
      </c>
      <c r="B472" s="1">
        <v>45008</v>
      </c>
      <c r="C472" t="s">
        <v>484</v>
      </c>
      <c r="D472" t="s">
        <v>10</v>
      </c>
      <c r="E472" s="2">
        <v>32</v>
      </c>
      <c r="F472" t="s">
        <v>14</v>
      </c>
      <c r="G472" s="2">
        <v>3</v>
      </c>
      <c r="H472" s="3">
        <v>50</v>
      </c>
      <c r="I472" s="3">
        <v>150</v>
      </c>
      <c r="J472" s="2" t="str">
        <f t="shared" si="7"/>
        <v>25–34</v>
      </c>
      <c r="K472" t="str" cm="1">
        <f t="array" ref="K472">_xlfn.IFS(
  OR(MONTH(B472)=12, MONTH(B472)=1, MONTH(B472)=2), "Winter",
  OR(MONTH(B472)=3, MONTH(B472)=4, MONTH(B472)=5), "Spring",
  OR(MONTH(B472)=6, MONTH(B472)=7, MONTH(B472)=8), "Summer",
  OR(MONTH(B472)=9, MONTH(B472)=10, MONTH(B472)=11), "Fall"
)</f>
        <v>Spring</v>
      </c>
    </row>
    <row r="473" spans="1:11">
      <c r="A473">
        <v>472</v>
      </c>
      <c r="B473" s="1">
        <v>45286</v>
      </c>
      <c r="C473" t="s">
        <v>485</v>
      </c>
      <c r="D473" t="s">
        <v>13</v>
      </c>
      <c r="E473" s="2">
        <v>38</v>
      </c>
      <c r="F473" t="s">
        <v>11</v>
      </c>
      <c r="G473" s="2">
        <v>3</v>
      </c>
      <c r="H473" s="3">
        <v>300</v>
      </c>
      <c r="I473" s="3">
        <v>900</v>
      </c>
      <c r="J473" s="2" t="str">
        <f t="shared" si="7"/>
        <v>35–44</v>
      </c>
      <c r="K473" t="str" cm="1">
        <f t="array" ref="K473">_xlfn.IFS(
  OR(MONTH(B473)=12, MONTH(B473)=1, MONTH(B473)=2), "Winter",
  OR(MONTH(B473)=3, MONTH(B473)=4, MONTH(B473)=5), "Spring",
  OR(MONTH(B473)=6, MONTH(B473)=7, MONTH(B473)=8), "Summer",
  OR(MONTH(B473)=9, MONTH(B473)=10, MONTH(B473)=11), "Fall"
)</f>
        <v>Winter</v>
      </c>
    </row>
    <row r="474" spans="1:11">
      <c r="A474">
        <v>473</v>
      </c>
      <c r="B474" s="1">
        <v>44982</v>
      </c>
      <c r="C474" t="s">
        <v>486</v>
      </c>
      <c r="D474" t="s">
        <v>10</v>
      </c>
      <c r="E474" s="2">
        <v>64</v>
      </c>
      <c r="F474" t="s">
        <v>11</v>
      </c>
      <c r="G474" s="2">
        <v>1</v>
      </c>
      <c r="H474" s="3">
        <v>50</v>
      </c>
      <c r="I474" s="3">
        <v>50</v>
      </c>
      <c r="J474" s="2" t="str">
        <f t="shared" si="7"/>
        <v>55–64</v>
      </c>
      <c r="K474" t="str" cm="1">
        <f t="array" ref="K474">_xlfn.IFS(
  OR(MONTH(B474)=12, MONTH(B474)=1, MONTH(B474)=2), "Winter",
  OR(MONTH(B474)=3, MONTH(B474)=4, MONTH(B474)=5), "Spring",
  OR(MONTH(B474)=6, MONTH(B474)=7, MONTH(B474)=8), "Summer",
  OR(MONTH(B474)=9, MONTH(B474)=10, MONTH(B474)=11), "Fall"
)</f>
        <v>Winter</v>
      </c>
    </row>
    <row r="475" spans="1:11">
      <c r="A475">
        <v>474</v>
      </c>
      <c r="B475" s="1">
        <v>45122</v>
      </c>
      <c r="C475" t="s">
        <v>487</v>
      </c>
      <c r="D475" t="s">
        <v>13</v>
      </c>
      <c r="E475" s="2">
        <v>26</v>
      </c>
      <c r="F475" t="s">
        <v>14</v>
      </c>
      <c r="G475" s="2">
        <v>3</v>
      </c>
      <c r="H475" s="3">
        <v>500</v>
      </c>
      <c r="I475" s="3">
        <v>1500</v>
      </c>
      <c r="J475" s="2" t="str">
        <f t="shared" si="7"/>
        <v>25–34</v>
      </c>
      <c r="K475" t="str" cm="1">
        <f t="array" ref="K475">_xlfn.IFS(
  OR(MONTH(B475)=12, MONTH(B475)=1, MONTH(B475)=2), "Winter",
  OR(MONTH(B475)=3, MONTH(B475)=4, MONTH(B475)=5), "Spring",
  OR(MONTH(B475)=6, MONTH(B475)=7, MONTH(B475)=8), "Summer",
  OR(MONTH(B475)=9, MONTH(B475)=10, MONTH(B475)=11), "Fall"
)</f>
        <v>Summer</v>
      </c>
    </row>
    <row r="476" spans="1:11">
      <c r="A476">
        <v>475</v>
      </c>
      <c r="B476" s="1">
        <v>44946</v>
      </c>
      <c r="C476" t="s">
        <v>488</v>
      </c>
      <c r="D476" t="s">
        <v>10</v>
      </c>
      <c r="E476" s="2">
        <v>26</v>
      </c>
      <c r="F476" t="s">
        <v>14</v>
      </c>
      <c r="G476" s="2">
        <v>3</v>
      </c>
      <c r="H476" s="3">
        <v>25</v>
      </c>
      <c r="I476" s="3">
        <v>75</v>
      </c>
      <c r="J476" s="2" t="str">
        <f t="shared" si="7"/>
        <v>25–34</v>
      </c>
      <c r="K476" t="str" cm="1">
        <f t="array" ref="K476">_xlfn.IFS(
  OR(MONTH(B476)=12, MONTH(B476)=1, MONTH(B476)=2), "Winter",
  OR(MONTH(B476)=3, MONTH(B476)=4, MONTH(B476)=5), "Spring",
  OR(MONTH(B476)=6, MONTH(B476)=7, MONTH(B476)=8), "Summer",
  OR(MONTH(B476)=9, MONTH(B476)=10, MONTH(B476)=11), "Fall"
)</f>
        <v>Winter</v>
      </c>
    </row>
    <row r="477" spans="1:11">
      <c r="A477">
        <v>476</v>
      </c>
      <c r="B477" s="1">
        <v>45167</v>
      </c>
      <c r="C477" t="s">
        <v>489</v>
      </c>
      <c r="D477" t="s">
        <v>13</v>
      </c>
      <c r="E477" s="2">
        <v>27</v>
      </c>
      <c r="F477" t="s">
        <v>14</v>
      </c>
      <c r="G477" s="2">
        <v>4</v>
      </c>
      <c r="H477" s="3">
        <v>500</v>
      </c>
      <c r="I477" s="3">
        <v>2000</v>
      </c>
      <c r="J477" s="2" t="str">
        <f t="shared" si="7"/>
        <v>25–34</v>
      </c>
      <c r="K477" t="str" cm="1">
        <f t="array" ref="K477">_xlfn.IFS(
  OR(MONTH(B477)=12, MONTH(B477)=1, MONTH(B477)=2), "Winter",
  OR(MONTH(B477)=3, MONTH(B477)=4, MONTH(B477)=5), "Spring",
  OR(MONTH(B477)=6, MONTH(B477)=7, MONTH(B477)=8), "Summer",
  OR(MONTH(B477)=9, MONTH(B477)=10, MONTH(B477)=11), "Fall"
)</f>
        <v>Summer</v>
      </c>
    </row>
    <row r="478" spans="1:11">
      <c r="A478">
        <v>477</v>
      </c>
      <c r="B478" s="1">
        <v>45040</v>
      </c>
      <c r="C478" t="s">
        <v>490</v>
      </c>
      <c r="D478" t="s">
        <v>10</v>
      </c>
      <c r="E478" s="2">
        <v>43</v>
      </c>
      <c r="F478" t="s">
        <v>14</v>
      </c>
      <c r="G478" s="2">
        <v>4</v>
      </c>
      <c r="H478" s="3">
        <v>30</v>
      </c>
      <c r="I478" s="3">
        <v>120</v>
      </c>
      <c r="J478" s="2" t="str">
        <f t="shared" si="7"/>
        <v>35–44</v>
      </c>
      <c r="K478" t="str" cm="1">
        <f t="array" ref="K478">_xlfn.IFS(
  OR(MONTH(B478)=12, MONTH(B478)=1, MONTH(B478)=2), "Winter",
  OR(MONTH(B478)=3, MONTH(B478)=4, MONTH(B478)=5), "Spring",
  OR(MONTH(B478)=6, MONTH(B478)=7, MONTH(B478)=8), "Summer",
  OR(MONTH(B478)=9, MONTH(B478)=10, MONTH(B478)=11), "Fall"
)</f>
        <v>Spring</v>
      </c>
    </row>
    <row r="479" spans="1:11">
      <c r="A479">
        <v>478</v>
      </c>
      <c r="B479" s="1">
        <v>45029</v>
      </c>
      <c r="C479" t="s">
        <v>491</v>
      </c>
      <c r="D479" t="s">
        <v>13</v>
      </c>
      <c r="E479" s="2">
        <v>58</v>
      </c>
      <c r="F479" t="s">
        <v>14</v>
      </c>
      <c r="G479" s="2">
        <v>2</v>
      </c>
      <c r="H479" s="3">
        <v>30</v>
      </c>
      <c r="I479" s="3">
        <v>60</v>
      </c>
      <c r="J479" s="2" t="str">
        <f t="shared" si="7"/>
        <v>55–64</v>
      </c>
      <c r="K479" t="str" cm="1">
        <f t="array" ref="K479">_xlfn.IFS(
  OR(MONTH(B479)=12, MONTH(B479)=1, MONTH(B479)=2), "Winter",
  OR(MONTH(B479)=3, MONTH(B479)=4, MONTH(B479)=5), "Spring",
  OR(MONTH(B479)=6, MONTH(B479)=7, MONTH(B479)=8), "Summer",
  OR(MONTH(B479)=9, MONTH(B479)=10, MONTH(B479)=11), "Fall"
)</f>
        <v>Spring</v>
      </c>
    </row>
    <row r="480" spans="1:11">
      <c r="A480">
        <v>479</v>
      </c>
      <c r="B480" s="1">
        <v>45162</v>
      </c>
      <c r="C480" t="s">
        <v>492</v>
      </c>
      <c r="D480" t="s">
        <v>10</v>
      </c>
      <c r="E480" s="2">
        <v>52</v>
      </c>
      <c r="F480" t="s">
        <v>16</v>
      </c>
      <c r="G480" s="2">
        <v>4</v>
      </c>
      <c r="H480" s="3">
        <v>300</v>
      </c>
      <c r="I480" s="3">
        <v>1200</v>
      </c>
      <c r="J480" s="2" t="str">
        <f t="shared" si="7"/>
        <v>45–54</v>
      </c>
      <c r="K480" t="str" cm="1">
        <f t="array" ref="K480">_xlfn.IFS(
  OR(MONTH(B480)=12, MONTH(B480)=1, MONTH(B480)=2), "Winter",
  OR(MONTH(B480)=3, MONTH(B480)=4, MONTH(B480)=5), "Spring",
  OR(MONTH(B480)=6, MONTH(B480)=7, MONTH(B480)=8), "Summer",
  OR(MONTH(B480)=9, MONTH(B480)=10, MONTH(B480)=11), "Fall"
)</f>
        <v>Summer</v>
      </c>
    </row>
    <row r="481" spans="1:11">
      <c r="A481">
        <v>480</v>
      </c>
      <c r="B481" s="1">
        <v>45106</v>
      </c>
      <c r="C481" t="s">
        <v>493</v>
      </c>
      <c r="D481" t="s">
        <v>13</v>
      </c>
      <c r="E481" s="2">
        <v>42</v>
      </c>
      <c r="F481" t="s">
        <v>11</v>
      </c>
      <c r="G481" s="2">
        <v>4</v>
      </c>
      <c r="H481" s="3">
        <v>500</v>
      </c>
      <c r="I481" s="3">
        <v>2000</v>
      </c>
      <c r="J481" s="2" t="str">
        <f t="shared" si="7"/>
        <v>35–44</v>
      </c>
      <c r="K481" t="str" cm="1">
        <f t="array" ref="K481">_xlfn.IFS(
  OR(MONTH(B481)=12, MONTH(B481)=1, MONTH(B481)=2), "Winter",
  OR(MONTH(B481)=3, MONTH(B481)=4, MONTH(B481)=5), "Spring",
  OR(MONTH(B481)=6, MONTH(B481)=7, MONTH(B481)=8), "Summer",
  OR(MONTH(B481)=9, MONTH(B481)=10, MONTH(B481)=11), "Fall"
)</f>
        <v>Summer</v>
      </c>
    </row>
    <row r="482" spans="1:11">
      <c r="A482">
        <v>481</v>
      </c>
      <c r="B482" s="1">
        <v>45083</v>
      </c>
      <c r="C482" t="s">
        <v>494</v>
      </c>
      <c r="D482" t="s">
        <v>13</v>
      </c>
      <c r="E482" s="2">
        <v>43</v>
      </c>
      <c r="F482" t="s">
        <v>16</v>
      </c>
      <c r="G482" s="2">
        <v>4</v>
      </c>
      <c r="H482" s="3">
        <v>300</v>
      </c>
      <c r="I482" s="3">
        <v>1200</v>
      </c>
      <c r="J482" s="2" t="str">
        <f t="shared" si="7"/>
        <v>35–44</v>
      </c>
      <c r="K482" t="str" cm="1">
        <f t="array" ref="K482">_xlfn.IFS(
  OR(MONTH(B482)=12, MONTH(B482)=1, MONTH(B482)=2), "Winter",
  OR(MONTH(B482)=3, MONTH(B482)=4, MONTH(B482)=5), "Spring",
  OR(MONTH(B482)=6, MONTH(B482)=7, MONTH(B482)=8), "Summer",
  OR(MONTH(B482)=9, MONTH(B482)=10, MONTH(B482)=11), "Fall"
)</f>
        <v>Summer</v>
      </c>
    </row>
    <row r="483" spans="1:11">
      <c r="A483">
        <v>482</v>
      </c>
      <c r="B483" s="1">
        <v>45043</v>
      </c>
      <c r="C483" t="s">
        <v>495</v>
      </c>
      <c r="D483" t="s">
        <v>13</v>
      </c>
      <c r="E483" s="2">
        <v>28</v>
      </c>
      <c r="F483" t="s">
        <v>14</v>
      </c>
      <c r="G483" s="2">
        <v>4</v>
      </c>
      <c r="H483" s="3">
        <v>300</v>
      </c>
      <c r="I483" s="3">
        <v>1200</v>
      </c>
      <c r="J483" s="2" t="str">
        <f t="shared" si="7"/>
        <v>25–34</v>
      </c>
      <c r="K483" t="str" cm="1">
        <f t="array" ref="K483">_xlfn.IFS(
  OR(MONTH(B483)=12, MONTH(B483)=1, MONTH(B483)=2), "Winter",
  OR(MONTH(B483)=3, MONTH(B483)=4, MONTH(B483)=5), "Spring",
  OR(MONTH(B483)=6, MONTH(B483)=7, MONTH(B483)=8), "Summer",
  OR(MONTH(B483)=9, MONTH(B483)=10, MONTH(B483)=11), "Fall"
)</f>
        <v>Spring</v>
      </c>
    </row>
    <row r="484" spans="1:11">
      <c r="A484">
        <v>483</v>
      </c>
      <c r="B484" s="1">
        <v>45041</v>
      </c>
      <c r="C484" t="s">
        <v>496</v>
      </c>
      <c r="D484" t="s">
        <v>10</v>
      </c>
      <c r="E484" s="2">
        <v>55</v>
      </c>
      <c r="F484" t="s">
        <v>14</v>
      </c>
      <c r="G484" s="2">
        <v>1</v>
      </c>
      <c r="H484" s="3">
        <v>30</v>
      </c>
      <c r="I484" s="3">
        <v>30</v>
      </c>
      <c r="J484" s="2" t="str">
        <f t="shared" si="7"/>
        <v>55–64</v>
      </c>
      <c r="K484" t="str" cm="1">
        <f t="array" ref="K484">_xlfn.IFS(
  OR(MONTH(B484)=12, MONTH(B484)=1, MONTH(B484)=2), "Winter",
  OR(MONTH(B484)=3, MONTH(B484)=4, MONTH(B484)=5), "Spring",
  OR(MONTH(B484)=6, MONTH(B484)=7, MONTH(B484)=8), "Summer",
  OR(MONTH(B484)=9, MONTH(B484)=10, MONTH(B484)=11), "Fall"
)</f>
        <v>Spring</v>
      </c>
    </row>
    <row r="485" spans="1:11">
      <c r="A485">
        <v>484</v>
      </c>
      <c r="B485" s="1">
        <v>44939</v>
      </c>
      <c r="C485" t="s">
        <v>497</v>
      </c>
      <c r="D485" t="s">
        <v>13</v>
      </c>
      <c r="E485" s="2">
        <v>19</v>
      </c>
      <c r="F485" t="s">
        <v>14</v>
      </c>
      <c r="G485" s="2">
        <v>4</v>
      </c>
      <c r="H485" s="3">
        <v>300</v>
      </c>
      <c r="I485" s="3">
        <v>1200</v>
      </c>
      <c r="J485" s="2" t="str">
        <f t="shared" si="7"/>
        <v>18–24</v>
      </c>
      <c r="K485" t="str" cm="1">
        <f t="array" ref="K485">_xlfn.IFS(
  OR(MONTH(B485)=12, MONTH(B485)=1, MONTH(B485)=2), "Winter",
  OR(MONTH(B485)=3, MONTH(B485)=4, MONTH(B485)=5), "Spring",
  OR(MONTH(B485)=6, MONTH(B485)=7, MONTH(B485)=8), "Summer",
  OR(MONTH(B485)=9, MONTH(B485)=10, MONTH(B485)=11), "Fall"
)</f>
        <v>Winter</v>
      </c>
    </row>
    <row r="486" spans="1:11">
      <c r="A486">
        <v>485</v>
      </c>
      <c r="B486" s="1">
        <v>45264</v>
      </c>
      <c r="C486" t="s">
        <v>498</v>
      </c>
      <c r="D486" t="s">
        <v>10</v>
      </c>
      <c r="E486" s="2">
        <v>24</v>
      </c>
      <c r="F486" t="s">
        <v>16</v>
      </c>
      <c r="G486" s="2">
        <v>1</v>
      </c>
      <c r="H486" s="3">
        <v>30</v>
      </c>
      <c r="I486" s="3">
        <v>30</v>
      </c>
      <c r="J486" s="2" t="str">
        <f t="shared" si="7"/>
        <v>18–24</v>
      </c>
      <c r="K486" t="str" cm="1">
        <f t="array" ref="K486">_xlfn.IFS(
  OR(MONTH(B486)=12, MONTH(B486)=1, MONTH(B486)=2), "Winter",
  OR(MONTH(B486)=3, MONTH(B486)=4, MONTH(B486)=5), "Spring",
  OR(MONTH(B486)=6, MONTH(B486)=7, MONTH(B486)=8), "Summer",
  OR(MONTH(B486)=9, MONTH(B486)=10, MONTH(B486)=11), "Fall"
)</f>
        <v>Winter</v>
      </c>
    </row>
    <row r="487" spans="1:11">
      <c r="A487">
        <v>486</v>
      </c>
      <c r="B487" s="1">
        <v>45025</v>
      </c>
      <c r="C487" t="s">
        <v>499</v>
      </c>
      <c r="D487" t="s">
        <v>13</v>
      </c>
      <c r="E487" s="2">
        <v>35</v>
      </c>
      <c r="F487" t="s">
        <v>16</v>
      </c>
      <c r="G487" s="2">
        <v>1</v>
      </c>
      <c r="H487" s="3">
        <v>25</v>
      </c>
      <c r="I487" s="3">
        <v>25</v>
      </c>
      <c r="J487" s="2" t="str">
        <f t="shared" si="7"/>
        <v>35–44</v>
      </c>
      <c r="K487" t="str" cm="1">
        <f t="array" ref="K487">_xlfn.IFS(
  OR(MONTH(B487)=12, MONTH(B487)=1, MONTH(B487)=2), "Winter",
  OR(MONTH(B487)=3, MONTH(B487)=4, MONTH(B487)=5), "Spring",
  OR(MONTH(B487)=6, MONTH(B487)=7, MONTH(B487)=8), "Summer",
  OR(MONTH(B487)=9, MONTH(B487)=10, MONTH(B487)=11), "Fall"
)</f>
        <v>Spring</v>
      </c>
    </row>
    <row r="488" spans="1:11">
      <c r="A488">
        <v>487</v>
      </c>
      <c r="B488" s="1">
        <v>45131</v>
      </c>
      <c r="C488" t="s">
        <v>500</v>
      </c>
      <c r="D488" t="s">
        <v>10</v>
      </c>
      <c r="E488" s="2">
        <v>44</v>
      </c>
      <c r="F488" t="s">
        <v>14</v>
      </c>
      <c r="G488" s="2">
        <v>4</v>
      </c>
      <c r="H488" s="3">
        <v>500</v>
      </c>
      <c r="I488" s="3">
        <v>2000</v>
      </c>
      <c r="J488" s="2" t="str">
        <f t="shared" si="7"/>
        <v>35–44</v>
      </c>
      <c r="K488" t="str" cm="1">
        <f t="array" ref="K488">_xlfn.IFS(
  OR(MONTH(B488)=12, MONTH(B488)=1, MONTH(B488)=2), "Winter",
  OR(MONTH(B488)=3, MONTH(B488)=4, MONTH(B488)=5), "Spring",
  OR(MONTH(B488)=6, MONTH(B488)=7, MONTH(B488)=8), "Summer",
  OR(MONTH(B488)=9, MONTH(B488)=10, MONTH(B488)=11), "Fall"
)</f>
        <v>Summer</v>
      </c>
    </row>
    <row r="489" spans="1:11">
      <c r="A489">
        <v>488</v>
      </c>
      <c r="B489" s="1">
        <v>45095</v>
      </c>
      <c r="C489" t="s">
        <v>501</v>
      </c>
      <c r="D489" t="s">
        <v>13</v>
      </c>
      <c r="E489" s="2">
        <v>51</v>
      </c>
      <c r="F489" t="s">
        <v>16</v>
      </c>
      <c r="G489" s="2">
        <v>3</v>
      </c>
      <c r="H489" s="3">
        <v>300</v>
      </c>
      <c r="I489" s="3">
        <v>900</v>
      </c>
      <c r="J489" s="2" t="str">
        <f t="shared" si="7"/>
        <v>45–54</v>
      </c>
      <c r="K489" t="str" cm="1">
        <f t="array" ref="K489">_xlfn.IFS(
  OR(MONTH(B489)=12, MONTH(B489)=1, MONTH(B489)=2), "Winter",
  OR(MONTH(B489)=3, MONTH(B489)=4, MONTH(B489)=5), "Spring",
  OR(MONTH(B489)=6, MONTH(B489)=7, MONTH(B489)=8), "Summer",
  OR(MONTH(B489)=9, MONTH(B489)=10, MONTH(B489)=11), "Fall"
)</f>
        <v>Summer</v>
      </c>
    </row>
    <row r="490" spans="1:11">
      <c r="A490">
        <v>489</v>
      </c>
      <c r="B490" s="1">
        <v>45069</v>
      </c>
      <c r="C490" t="s">
        <v>502</v>
      </c>
      <c r="D490" t="s">
        <v>10</v>
      </c>
      <c r="E490" s="2">
        <v>44</v>
      </c>
      <c r="F490" t="s">
        <v>16</v>
      </c>
      <c r="G490" s="2">
        <v>1</v>
      </c>
      <c r="H490" s="3">
        <v>30</v>
      </c>
      <c r="I490" s="3">
        <v>30</v>
      </c>
      <c r="J490" s="2" t="str">
        <f t="shared" si="7"/>
        <v>35–44</v>
      </c>
      <c r="K490" t="str" cm="1">
        <f t="array" ref="K490">_xlfn.IFS(
  OR(MONTH(B490)=12, MONTH(B490)=1, MONTH(B490)=2), "Winter",
  OR(MONTH(B490)=3, MONTH(B490)=4, MONTH(B490)=5), "Spring",
  OR(MONTH(B490)=6, MONTH(B490)=7, MONTH(B490)=8), "Summer",
  OR(MONTH(B490)=9, MONTH(B490)=10, MONTH(B490)=11), "Fall"
)</f>
        <v>Spring</v>
      </c>
    </row>
    <row r="491" spans="1:11">
      <c r="A491">
        <v>490</v>
      </c>
      <c r="B491" s="1">
        <v>44962</v>
      </c>
      <c r="C491" t="s">
        <v>503</v>
      </c>
      <c r="D491" t="s">
        <v>10</v>
      </c>
      <c r="E491" s="2">
        <v>34</v>
      </c>
      <c r="F491" t="s">
        <v>14</v>
      </c>
      <c r="G491" s="2">
        <v>3</v>
      </c>
      <c r="H491" s="3">
        <v>50</v>
      </c>
      <c r="I491" s="3">
        <v>150</v>
      </c>
      <c r="J491" s="2" t="str">
        <f t="shared" si="7"/>
        <v>25–34</v>
      </c>
      <c r="K491" t="str" cm="1">
        <f t="array" ref="K491">_xlfn.IFS(
  OR(MONTH(B491)=12, MONTH(B491)=1, MONTH(B491)=2), "Winter",
  OR(MONTH(B491)=3, MONTH(B491)=4, MONTH(B491)=5), "Spring",
  OR(MONTH(B491)=6, MONTH(B491)=7, MONTH(B491)=8), "Summer",
  OR(MONTH(B491)=9, MONTH(B491)=10, MONTH(B491)=11), "Fall"
)</f>
        <v>Winter</v>
      </c>
    </row>
    <row r="492" spans="1:11">
      <c r="A492">
        <v>491</v>
      </c>
      <c r="B492" s="1">
        <v>45069</v>
      </c>
      <c r="C492" t="s">
        <v>504</v>
      </c>
      <c r="D492" t="s">
        <v>13</v>
      </c>
      <c r="E492" s="2">
        <v>60</v>
      </c>
      <c r="F492" t="s">
        <v>16</v>
      </c>
      <c r="G492" s="2">
        <v>3</v>
      </c>
      <c r="H492" s="3">
        <v>300</v>
      </c>
      <c r="I492" s="3">
        <v>900</v>
      </c>
      <c r="J492" s="2" t="str">
        <f t="shared" si="7"/>
        <v>55–64</v>
      </c>
      <c r="K492" t="str" cm="1">
        <f t="array" ref="K492">_xlfn.IFS(
  OR(MONTH(B492)=12, MONTH(B492)=1, MONTH(B492)=2), "Winter",
  OR(MONTH(B492)=3, MONTH(B492)=4, MONTH(B492)=5), "Spring",
  OR(MONTH(B492)=6, MONTH(B492)=7, MONTH(B492)=8), "Summer",
  OR(MONTH(B492)=9, MONTH(B492)=10, MONTH(B492)=11), "Fall"
)</f>
        <v>Spring</v>
      </c>
    </row>
    <row r="493" spans="1:11">
      <c r="A493">
        <v>492</v>
      </c>
      <c r="B493" s="1">
        <v>45106</v>
      </c>
      <c r="C493" t="s">
        <v>505</v>
      </c>
      <c r="D493" t="s">
        <v>10</v>
      </c>
      <c r="E493" s="2">
        <v>61</v>
      </c>
      <c r="F493" t="s">
        <v>11</v>
      </c>
      <c r="G493" s="2">
        <v>4</v>
      </c>
      <c r="H493" s="3">
        <v>25</v>
      </c>
      <c r="I493" s="3">
        <v>100</v>
      </c>
      <c r="J493" s="2" t="str">
        <f t="shared" si="7"/>
        <v>55–64</v>
      </c>
      <c r="K493" t="str" cm="1">
        <f t="array" ref="K493">_xlfn.IFS(
  OR(MONTH(B493)=12, MONTH(B493)=1, MONTH(B493)=2), "Winter",
  OR(MONTH(B493)=3, MONTH(B493)=4, MONTH(B493)=5), "Spring",
  OR(MONTH(B493)=6, MONTH(B493)=7, MONTH(B493)=8), "Summer",
  OR(MONTH(B493)=9, MONTH(B493)=10, MONTH(B493)=11), "Fall"
)</f>
        <v>Summer</v>
      </c>
    </row>
    <row r="494" spans="1:11">
      <c r="A494">
        <v>493</v>
      </c>
      <c r="B494" s="1">
        <v>45255</v>
      </c>
      <c r="C494" t="s">
        <v>506</v>
      </c>
      <c r="D494" t="s">
        <v>10</v>
      </c>
      <c r="E494" s="2">
        <v>41</v>
      </c>
      <c r="F494" t="s">
        <v>11</v>
      </c>
      <c r="G494" s="2">
        <v>2</v>
      </c>
      <c r="H494" s="3">
        <v>25</v>
      </c>
      <c r="I494" s="3">
        <v>50</v>
      </c>
      <c r="J494" s="2" t="str">
        <f t="shared" si="7"/>
        <v>35–44</v>
      </c>
      <c r="K494" t="str" cm="1">
        <f t="array" ref="K494">_xlfn.IFS(
  OR(MONTH(B494)=12, MONTH(B494)=1, MONTH(B494)=2), "Winter",
  OR(MONTH(B494)=3, MONTH(B494)=4, MONTH(B494)=5), "Spring",
  OR(MONTH(B494)=6, MONTH(B494)=7, MONTH(B494)=8), "Summer",
  OR(MONTH(B494)=9, MONTH(B494)=10, MONTH(B494)=11), "Fall"
)</f>
        <v>Fall</v>
      </c>
    </row>
    <row r="495" spans="1:11">
      <c r="A495">
        <v>494</v>
      </c>
      <c r="B495" s="1">
        <v>45187</v>
      </c>
      <c r="C495" t="s">
        <v>507</v>
      </c>
      <c r="D495" t="s">
        <v>13</v>
      </c>
      <c r="E495" s="2">
        <v>42</v>
      </c>
      <c r="F495" t="s">
        <v>11</v>
      </c>
      <c r="G495" s="2">
        <v>4</v>
      </c>
      <c r="H495" s="3">
        <v>50</v>
      </c>
      <c r="I495" s="3">
        <v>200</v>
      </c>
      <c r="J495" s="2" t="str">
        <f t="shared" si="7"/>
        <v>35–44</v>
      </c>
      <c r="K495" t="str" cm="1">
        <f t="array" ref="K495">_xlfn.IFS(
  OR(MONTH(B495)=12, MONTH(B495)=1, MONTH(B495)=2), "Winter",
  OR(MONTH(B495)=3, MONTH(B495)=4, MONTH(B495)=5), "Spring",
  OR(MONTH(B495)=6, MONTH(B495)=7, MONTH(B495)=8), "Summer",
  OR(MONTH(B495)=9, MONTH(B495)=10, MONTH(B495)=11), "Fall"
)</f>
        <v>Fall</v>
      </c>
    </row>
    <row r="496" spans="1:11">
      <c r="A496">
        <v>495</v>
      </c>
      <c r="B496" s="1">
        <v>45131</v>
      </c>
      <c r="C496" t="s">
        <v>508</v>
      </c>
      <c r="D496" t="s">
        <v>10</v>
      </c>
      <c r="E496" s="2">
        <v>24</v>
      </c>
      <c r="F496" t="s">
        <v>11</v>
      </c>
      <c r="G496" s="2">
        <v>2</v>
      </c>
      <c r="H496" s="3">
        <v>30</v>
      </c>
      <c r="I496" s="3">
        <v>60</v>
      </c>
      <c r="J496" s="2" t="str">
        <f t="shared" si="7"/>
        <v>18–24</v>
      </c>
      <c r="K496" t="str" cm="1">
        <f t="array" ref="K496">_xlfn.IFS(
  OR(MONTH(B496)=12, MONTH(B496)=1, MONTH(B496)=2), "Winter",
  OR(MONTH(B496)=3, MONTH(B496)=4, MONTH(B496)=5), "Spring",
  OR(MONTH(B496)=6, MONTH(B496)=7, MONTH(B496)=8), "Summer",
  OR(MONTH(B496)=9, MONTH(B496)=10, MONTH(B496)=11), "Fall"
)</f>
        <v>Summer</v>
      </c>
    </row>
    <row r="497" spans="1:11">
      <c r="A497">
        <v>496</v>
      </c>
      <c r="B497" s="1">
        <v>45274</v>
      </c>
      <c r="C497" t="s">
        <v>509</v>
      </c>
      <c r="D497" t="s">
        <v>10</v>
      </c>
      <c r="E497" s="2">
        <v>23</v>
      </c>
      <c r="F497" t="s">
        <v>14</v>
      </c>
      <c r="G497" s="2">
        <v>2</v>
      </c>
      <c r="H497" s="3">
        <v>300</v>
      </c>
      <c r="I497" s="3">
        <v>600</v>
      </c>
      <c r="J497" s="2" t="str">
        <f t="shared" si="7"/>
        <v>18–24</v>
      </c>
      <c r="K497" t="str" cm="1">
        <f t="array" ref="K497">_xlfn.IFS(
  OR(MONTH(B497)=12, MONTH(B497)=1, MONTH(B497)=2), "Winter",
  OR(MONTH(B497)=3, MONTH(B497)=4, MONTH(B497)=5), "Spring",
  OR(MONTH(B497)=6, MONTH(B497)=7, MONTH(B497)=8), "Summer",
  OR(MONTH(B497)=9, MONTH(B497)=10, MONTH(B497)=11), "Fall"
)</f>
        <v>Winter</v>
      </c>
    </row>
    <row r="498" spans="1:11">
      <c r="A498">
        <v>497</v>
      </c>
      <c r="B498" s="1">
        <v>45201</v>
      </c>
      <c r="C498" t="s">
        <v>510</v>
      </c>
      <c r="D498" t="s">
        <v>10</v>
      </c>
      <c r="E498" s="2">
        <v>41</v>
      </c>
      <c r="F498" t="s">
        <v>14</v>
      </c>
      <c r="G498" s="2">
        <v>4</v>
      </c>
      <c r="H498" s="3">
        <v>30</v>
      </c>
      <c r="I498" s="3">
        <v>120</v>
      </c>
      <c r="J498" s="2" t="str">
        <f t="shared" si="7"/>
        <v>35–44</v>
      </c>
      <c r="K498" t="str" cm="1">
        <f t="array" ref="K498">_xlfn.IFS(
  OR(MONTH(B498)=12, MONTH(B498)=1, MONTH(B498)=2), "Winter",
  OR(MONTH(B498)=3, MONTH(B498)=4, MONTH(B498)=5), "Spring",
  OR(MONTH(B498)=6, MONTH(B498)=7, MONTH(B498)=8), "Summer",
  OR(MONTH(B498)=9, MONTH(B498)=10, MONTH(B498)=11), "Fall"
)</f>
        <v>Fall</v>
      </c>
    </row>
    <row r="499" spans="1:11">
      <c r="A499">
        <v>498</v>
      </c>
      <c r="B499" s="1">
        <v>45096</v>
      </c>
      <c r="C499" t="s">
        <v>511</v>
      </c>
      <c r="D499" t="s">
        <v>13</v>
      </c>
      <c r="E499" s="2">
        <v>50</v>
      </c>
      <c r="F499" t="s">
        <v>14</v>
      </c>
      <c r="G499" s="2">
        <v>4</v>
      </c>
      <c r="H499" s="3">
        <v>25</v>
      </c>
      <c r="I499" s="3">
        <v>100</v>
      </c>
      <c r="J499" s="2" t="str">
        <f t="shared" si="7"/>
        <v>45–54</v>
      </c>
      <c r="K499" t="str" cm="1">
        <f t="array" ref="K499">_xlfn.IFS(
  OR(MONTH(B499)=12, MONTH(B499)=1, MONTH(B499)=2), "Winter",
  OR(MONTH(B499)=3, MONTH(B499)=4, MONTH(B499)=5), "Spring",
  OR(MONTH(B499)=6, MONTH(B499)=7, MONTH(B499)=8), "Summer",
  OR(MONTH(B499)=9, MONTH(B499)=10, MONTH(B499)=11), "Fall"
)</f>
        <v>Summer</v>
      </c>
    </row>
    <row r="500" spans="1:11">
      <c r="A500">
        <v>499</v>
      </c>
      <c r="B500" s="1">
        <v>44941</v>
      </c>
      <c r="C500" t="s">
        <v>512</v>
      </c>
      <c r="D500" t="s">
        <v>10</v>
      </c>
      <c r="E500" s="2">
        <v>46</v>
      </c>
      <c r="F500" t="s">
        <v>11</v>
      </c>
      <c r="G500" s="2">
        <v>2</v>
      </c>
      <c r="H500" s="3">
        <v>30</v>
      </c>
      <c r="I500" s="3">
        <v>60</v>
      </c>
      <c r="J500" s="2" t="str">
        <f t="shared" si="7"/>
        <v>45–54</v>
      </c>
      <c r="K500" t="str" cm="1">
        <f t="array" ref="K500">_xlfn.IFS(
  OR(MONTH(B500)=12, MONTH(B500)=1, MONTH(B500)=2), "Winter",
  OR(MONTH(B500)=3, MONTH(B500)=4, MONTH(B500)=5), "Spring",
  OR(MONTH(B500)=6, MONTH(B500)=7, MONTH(B500)=8), "Summer",
  OR(MONTH(B500)=9, MONTH(B500)=10, MONTH(B500)=11), "Fall"
)</f>
        <v>Winter</v>
      </c>
    </row>
    <row r="501" spans="1:11">
      <c r="A501">
        <v>500</v>
      </c>
      <c r="B501" s="1">
        <v>44986</v>
      </c>
      <c r="C501" t="s">
        <v>513</v>
      </c>
      <c r="D501" t="s">
        <v>13</v>
      </c>
      <c r="E501" s="2">
        <v>60</v>
      </c>
      <c r="F501" t="s">
        <v>11</v>
      </c>
      <c r="G501" s="2">
        <v>4</v>
      </c>
      <c r="H501" s="3">
        <v>25</v>
      </c>
      <c r="I501" s="3">
        <v>100</v>
      </c>
      <c r="J501" s="2" t="str">
        <f t="shared" si="7"/>
        <v>55–64</v>
      </c>
      <c r="K501" t="str" cm="1">
        <f t="array" ref="K501">_xlfn.IFS(
  OR(MONTH(B501)=12, MONTH(B501)=1, MONTH(B501)=2), "Winter",
  OR(MONTH(B501)=3, MONTH(B501)=4, MONTH(B501)=5), "Spring",
  OR(MONTH(B501)=6, MONTH(B501)=7, MONTH(B501)=8), "Summer",
  OR(MONTH(B501)=9, MONTH(B501)=10, MONTH(B501)=11), "Fall"
)</f>
        <v>Spring</v>
      </c>
    </row>
    <row r="502" spans="1:11">
      <c r="A502">
        <v>501</v>
      </c>
      <c r="B502" s="1">
        <v>45060</v>
      </c>
      <c r="C502" t="s">
        <v>514</v>
      </c>
      <c r="D502" t="s">
        <v>10</v>
      </c>
      <c r="E502" s="2">
        <v>39</v>
      </c>
      <c r="F502" t="s">
        <v>16</v>
      </c>
      <c r="G502" s="2">
        <v>2</v>
      </c>
      <c r="H502" s="3">
        <v>30</v>
      </c>
      <c r="I502" s="3">
        <v>60</v>
      </c>
      <c r="J502" s="2" t="str">
        <f t="shared" si="7"/>
        <v>35–44</v>
      </c>
      <c r="K502" t="str" cm="1">
        <f t="array" ref="K502">_xlfn.IFS(
  OR(MONTH(B502)=12, MONTH(B502)=1, MONTH(B502)=2), "Winter",
  OR(MONTH(B502)=3, MONTH(B502)=4, MONTH(B502)=5), "Spring",
  OR(MONTH(B502)=6, MONTH(B502)=7, MONTH(B502)=8), "Summer",
  OR(MONTH(B502)=9, MONTH(B502)=10, MONTH(B502)=11), "Fall"
)</f>
        <v>Spring</v>
      </c>
    </row>
    <row r="503" spans="1:11">
      <c r="A503">
        <v>502</v>
      </c>
      <c r="B503" s="1">
        <v>45018</v>
      </c>
      <c r="C503" t="s">
        <v>515</v>
      </c>
      <c r="D503" t="s">
        <v>10</v>
      </c>
      <c r="E503" s="2">
        <v>43</v>
      </c>
      <c r="F503" t="s">
        <v>16</v>
      </c>
      <c r="G503" s="2">
        <v>3</v>
      </c>
      <c r="H503" s="3">
        <v>50</v>
      </c>
      <c r="I503" s="3">
        <v>150</v>
      </c>
      <c r="J503" s="2" t="str">
        <f t="shared" si="7"/>
        <v>35–44</v>
      </c>
      <c r="K503" t="str" cm="1">
        <f t="array" ref="K503">_xlfn.IFS(
  OR(MONTH(B503)=12, MONTH(B503)=1, MONTH(B503)=2), "Winter",
  OR(MONTH(B503)=3, MONTH(B503)=4, MONTH(B503)=5), "Spring",
  OR(MONTH(B503)=6, MONTH(B503)=7, MONTH(B503)=8), "Summer",
  OR(MONTH(B503)=9, MONTH(B503)=10, MONTH(B503)=11), "Fall"
)</f>
        <v>Spring</v>
      </c>
    </row>
    <row r="504" spans="1:11">
      <c r="A504">
        <v>503</v>
      </c>
      <c r="B504" s="1">
        <v>45224</v>
      </c>
      <c r="C504" t="s">
        <v>516</v>
      </c>
      <c r="D504" t="s">
        <v>10</v>
      </c>
      <c r="E504" s="2">
        <v>45</v>
      </c>
      <c r="F504" t="s">
        <v>11</v>
      </c>
      <c r="G504" s="2">
        <v>4</v>
      </c>
      <c r="H504" s="3">
        <v>500</v>
      </c>
      <c r="I504" s="3">
        <v>2000</v>
      </c>
      <c r="J504" s="2" t="str">
        <f t="shared" si="7"/>
        <v>45–54</v>
      </c>
      <c r="K504" t="str" cm="1">
        <f t="array" ref="K504">_xlfn.IFS(
  OR(MONTH(B504)=12, MONTH(B504)=1, MONTH(B504)=2), "Winter",
  OR(MONTH(B504)=3, MONTH(B504)=4, MONTH(B504)=5), "Spring",
  OR(MONTH(B504)=6, MONTH(B504)=7, MONTH(B504)=8), "Summer",
  OR(MONTH(B504)=9, MONTH(B504)=10, MONTH(B504)=11), "Fall"
)</f>
        <v>Fall</v>
      </c>
    </row>
    <row r="505" spans="1:11">
      <c r="A505">
        <v>504</v>
      </c>
      <c r="B505" s="1">
        <v>45062</v>
      </c>
      <c r="C505" t="s">
        <v>517</v>
      </c>
      <c r="D505" t="s">
        <v>13</v>
      </c>
      <c r="E505" s="2">
        <v>38</v>
      </c>
      <c r="F505" t="s">
        <v>11</v>
      </c>
      <c r="G505" s="2">
        <v>3</v>
      </c>
      <c r="H505" s="3">
        <v>50</v>
      </c>
      <c r="I505" s="3">
        <v>150</v>
      </c>
      <c r="J505" s="2" t="str">
        <f t="shared" si="7"/>
        <v>35–44</v>
      </c>
      <c r="K505" t="str" cm="1">
        <f t="array" ref="K505">_xlfn.IFS(
  OR(MONTH(B505)=12, MONTH(B505)=1, MONTH(B505)=2), "Winter",
  OR(MONTH(B505)=3, MONTH(B505)=4, MONTH(B505)=5), "Spring",
  OR(MONTH(B505)=6, MONTH(B505)=7, MONTH(B505)=8), "Summer",
  OR(MONTH(B505)=9, MONTH(B505)=10, MONTH(B505)=11), "Fall"
)</f>
        <v>Spring</v>
      </c>
    </row>
    <row r="506" spans="1:11">
      <c r="A506">
        <v>505</v>
      </c>
      <c r="B506" s="1">
        <v>44946</v>
      </c>
      <c r="C506" t="s">
        <v>518</v>
      </c>
      <c r="D506" t="s">
        <v>10</v>
      </c>
      <c r="E506" s="2">
        <v>24</v>
      </c>
      <c r="F506" t="s">
        <v>11</v>
      </c>
      <c r="G506" s="2">
        <v>1</v>
      </c>
      <c r="H506" s="3">
        <v>50</v>
      </c>
      <c r="I506" s="3">
        <v>50</v>
      </c>
      <c r="J506" s="2" t="str">
        <f t="shared" si="7"/>
        <v>18–24</v>
      </c>
      <c r="K506" t="str" cm="1">
        <f t="array" ref="K506">_xlfn.IFS(
  OR(MONTH(B506)=12, MONTH(B506)=1, MONTH(B506)=2), "Winter",
  OR(MONTH(B506)=3, MONTH(B506)=4, MONTH(B506)=5), "Spring",
  OR(MONTH(B506)=6, MONTH(B506)=7, MONTH(B506)=8), "Summer",
  OR(MONTH(B506)=9, MONTH(B506)=10, MONTH(B506)=11), "Fall"
)</f>
        <v>Winter</v>
      </c>
    </row>
    <row r="507" spans="1:11">
      <c r="A507">
        <v>506</v>
      </c>
      <c r="B507" s="1">
        <v>44982</v>
      </c>
      <c r="C507" t="s">
        <v>519</v>
      </c>
      <c r="D507" t="s">
        <v>10</v>
      </c>
      <c r="E507" s="2">
        <v>34</v>
      </c>
      <c r="F507" t="s">
        <v>11</v>
      </c>
      <c r="G507" s="2">
        <v>3</v>
      </c>
      <c r="H507" s="3">
        <v>500</v>
      </c>
      <c r="I507" s="3">
        <v>1500</v>
      </c>
      <c r="J507" s="2" t="str">
        <f t="shared" si="7"/>
        <v>25–34</v>
      </c>
      <c r="K507" t="str" cm="1">
        <f t="array" ref="K507">_xlfn.IFS(
  OR(MONTH(B507)=12, MONTH(B507)=1, MONTH(B507)=2), "Winter",
  OR(MONTH(B507)=3, MONTH(B507)=4, MONTH(B507)=5), "Spring",
  OR(MONTH(B507)=6, MONTH(B507)=7, MONTH(B507)=8), "Summer",
  OR(MONTH(B507)=9, MONTH(B507)=10, MONTH(B507)=11), "Fall"
)</f>
        <v>Winter</v>
      </c>
    </row>
    <row r="508" spans="1:11">
      <c r="A508">
        <v>507</v>
      </c>
      <c r="B508" s="1">
        <v>45232</v>
      </c>
      <c r="C508" t="s">
        <v>520</v>
      </c>
      <c r="D508" t="s">
        <v>13</v>
      </c>
      <c r="E508" s="2">
        <v>37</v>
      </c>
      <c r="F508" t="s">
        <v>16</v>
      </c>
      <c r="G508" s="2">
        <v>3</v>
      </c>
      <c r="H508" s="3">
        <v>500</v>
      </c>
      <c r="I508" s="3">
        <v>1500</v>
      </c>
      <c r="J508" s="2" t="str">
        <f t="shared" si="7"/>
        <v>35–44</v>
      </c>
      <c r="K508" t="str" cm="1">
        <f t="array" ref="K508">_xlfn.IFS(
  OR(MONTH(B508)=12, MONTH(B508)=1, MONTH(B508)=2), "Winter",
  OR(MONTH(B508)=3, MONTH(B508)=4, MONTH(B508)=5), "Spring",
  OR(MONTH(B508)=6, MONTH(B508)=7, MONTH(B508)=8), "Summer",
  OR(MONTH(B508)=9, MONTH(B508)=10, MONTH(B508)=11), "Fall"
)</f>
        <v>Fall</v>
      </c>
    </row>
    <row r="509" spans="1:11">
      <c r="A509">
        <v>508</v>
      </c>
      <c r="B509" s="1">
        <v>45149</v>
      </c>
      <c r="C509" t="s">
        <v>521</v>
      </c>
      <c r="D509" t="s">
        <v>10</v>
      </c>
      <c r="E509" s="2">
        <v>58</v>
      </c>
      <c r="F509" t="s">
        <v>11</v>
      </c>
      <c r="G509" s="2">
        <v>2</v>
      </c>
      <c r="H509" s="3">
        <v>300</v>
      </c>
      <c r="I509" s="3">
        <v>600</v>
      </c>
      <c r="J509" s="2" t="str">
        <f t="shared" si="7"/>
        <v>55–64</v>
      </c>
      <c r="K509" t="str" cm="1">
        <f t="array" ref="K509">_xlfn.IFS(
  OR(MONTH(B509)=12, MONTH(B509)=1, MONTH(B509)=2), "Winter",
  OR(MONTH(B509)=3, MONTH(B509)=4, MONTH(B509)=5), "Spring",
  OR(MONTH(B509)=6, MONTH(B509)=7, MONTH(B509)=8), "Summer",
  OR(MONTH(B509)=9, MONTH(B509)=10, MONTH(B509)=11), "Fall"
)</f>
        <v>Summer</v>
      </c>
    </row>
    <row r="510" spans="1:11">
      <c r="A510">
        <v>509</v>
      </c>
      <c r="B510" s="1">
        <v>45103</v>
      </c>
      <c r="C510" t="s">
        <v>522</v>
      </c>
      <c r="D510" t="s">
        <v>13</v>
      </c>
      <c r="E510" s="2">
        <v>37</v>
      </c>
      <c r="F510" t="s">
        <v>16</v>
      </c>
      <c r="G510" s="2">
        <v>3</v>
      </c>
      <c r="H510" s="3">
        <v>300</v>
      </c>
      <c r="I510" s="3">
        <v>900</v>
      </c>
      <c r="J510" s="2" t="str">
        <f t="shared" si="7"/>
        <v>35–44</v>
      </c>
      <c r="K510" t="str" cm="1">
        <f t="array" ref="K510">_xlfn.IFS(
  OR(MONTH(B510)=12, MONTH(B510)=1, MONTH(B510)=2), "Winter",
  OR(MONTH(B510)=3, MONTH(B510)=4, MONTH(B510)=5), "Spring",
  OR(MONTH(B510)=6, MONTH(B510)=7, MONTH(B510)=8), "Summer",
  OR(MONTH(B510)=9, MONTH(B510)=10, MONTH(B510)=11), "Fall"
)</f>
        <v>Summer</v>
      </c>
    </row>
    <row r="511" spans="1:11">
      <c r="A511">
        <v>510</v>
      </c>
      <c r="B511" s="1">
        <v>45087</v>
      </c>
      <c r="C511" t="s">
        <v>523</v>
      </c>
      <c r="D511" t="s">
        <v>13</v>
      </c>
      <c r="E511" s="2">
        <v>39</v>
      </c>
      <c r="F511" t="s">
        <v>11</v>
      </c>
      <c r="G511" s="2">
        <v>4</v>
      </c>
      <c r="H511" s="3">
        <v>50</v>
      </c>
      <c r="I511" s="3">
        <v>200</v>
      </c>
      <c r="J511" s="2" t="str">
        <f t="shared" si="7"/>
        <v>35–44</v>
      </c>
      <c r="K511" t="str" cm="1">
        <f t="array" ref="K511">_xlfn.IFS(
  OR(MONTH(B511)=12, MONTH(B511)=1, MONTH(B511)=2), "Winter",
  OR(MONTH(B511)=3, MONTH(B511)=4, MONTH(B511)=5), "Spring",
  OR(MONTH(B511)=6, MONTH(B511)=7, MONTH(B511)=8), "Summer",
  OR(MONTH(B511)=9, MONTH(B511)=10, MONTH(B511)=11), "Fall"
)</f>
        <v>Summer</v>
      </c>
    </row>
    <row r="512" spans="1:11">
      <c r="A512">
        <v>511</v>
      </c>
      <c r="B512" s="1">
        <v>45150</v>
      </c>
      <c r="C512" t="s">
        <v>524</v>
      </c>
      <c r="D512" t="s">
        <v>10</v>
      </c>
      <c r="E512" s="2">
        <v>45</v>
      </c>
      <c r="F512" t="s">
        <v>11</v>
      </c>
      <c r="G512" s="2">
        <v>2</v>
      </c>
      <c r="H512" s="3">
        <v>50</v>
      </c>
      <c r="I512" s="3">
        <v>100</v>
      </c>
      <c r="J512" s="2" t="str">
        <f t="shared" si="7"/>
        <v>45–54</v>
      </c>
      <c r="K512" t="str" cm="1">
        <f t="array" ref="K512">_xlfn.IFS(
  OR(MONTH(B512)=12, MONTH(B512)=1, MONTH(B512)=2), "Winter",
  OR(MONTH(B512)=3, MONTH(B512)=4, MONTH(B512)=5), "Spring",
  OR(MONTH(B512)=6, MONTH(B512)=7, MONTH(B512)=8), "Summer",
  OR(MONTH(B512)=9, MONTH(B512)=10, MONTH(B512)=11), "Fall"
)</f>
        <v>Summer</v>
      </c>
    </row>
    <row r="513" spans="1:11">
      <c r="A513">
        <v>512</v>
      </c>
      <c r="B513" s="1">
        <v>45237</v>
      </c>
      <c r="C513" t="s">
        <v>525</v>
      </c>
      <c r="D513" t="s">
        <v>13</v>
      </c>
      <c r="E513" s="2">
        <v>57</v>
      </c>
      <c r="F513" t="s">
        <v>11</v>
      </c>
      <c r="G513" s="2">
        <v>1</v>
      </c>
      <c r="H513" s="3">
        <v>25</v>
      </c>
      <c r="I513" s="3">
        <v>25</v>
      </c>
      <c r="J513" s="2" t="str">
        <f t="shared" si="7"/>
        <v>55–64</v>
      </c>
      <c r="K513" t="str" cm="1">
        <f t="array" ref="K513">_xlfn.IFS(
  OR(MONTH(B513)=12, MONTH(B513)=1, MONTH(B513)=2), "Winter",
  OR(MONTH(B513)=3, MONTH(B513)=4, MONTH(B513)=5), "Spring",
  OR(MONTH(B513)=6, MONTH(B513)=7, MONTH(B513)=8), "Summer",
  OR(MONTH(B513)=9, MONTH(B513)=10, MONTH(B513)=11), "Fall"
)</f>
        <v>Fall</v>
      </c>
    </row>
    <row r="514" spans="1:11">
      <c r="A514">
        <v>513</v>
      </c>
      <c r="B514" s="1">
        <v>45188</v>
      </c>
      <c r="C514" t="s">
        <v>526</v>
      </c>
      <c r="D514" t="s">
        <v>10</v>
      </c>
      <c r="E514" s="2">
        <v>24</v>
      </c>
      <c r="F514" t="s">
        <v>16</v>
      </c>
      <c r="G514" s="2">
        <v>4</v>
      </c>
      <c r="H514" s="3">
        <v>25</v>
      </c>
      <c r="I514" s="3">
        <v>100</v>
      </c>
      <c r="J514" s="2" t="str">
        <f t="shared" ref="J514:J577" si="8">IF(AND(E514&gt;=18, E514&lt;=24), "18–24",
 IF(AND(E514&gt;=25, E514&lt;=34), "25–34",
 IF(AND(E514&gt;=35, E514&lt;=44), "35–44",
 IF(AND(E514&gt;=45, E514&lt;=54), "45–54",
 IF(AND(E514&gt;=55, E514&lt;=64), "55–64", "Other")))))</f>
        <v>18–24</v>
      </c>
      <c r="K514" t="str" cm="1">
        <f t="array" ref="K514">_xlfn.IFS(
  OR(MONTH(B514)=12, MONTH(B514)=1, MONTH(B514)=2), "Winter",
  OR(MONTH(B514)=3, MONTH(B514)=4, MONTH(B514)=5), "Spring",
  OR(MONTH(B514)=6, MONTH(B514)=7, MONTH(B514)=8), "Summer",
  OR(MONTH(B514)=9, MONTH(B514)=10, MONTH(B514)=11), "Fall"
)</f>
        <v>Fall</v>
      </c>
    </row>
    <row r="515" spans="1:11">
      <c r="A515">
        <v>514</v>
      </c>
      <c r="B515" s="1">
        <v>44986</v>
      </c>
      <c r="C515" t="s">
        <v>527</v>
      </c>
      <c r="D515" t="s">
        <v>13</v>
      </c>
      <c r="E515" s="2">
        <v>18</v>
      </c>
      <c r="F515" t="s">
        <v>16</v>
      </c>
      <c r="G515" s="2">
        <v>1</v>
      </c>
      <c r="H515" s="3">
        <v>300</v>
      </c>
      <c r="I515" s="3">
        <v>300</v>
      </c>
      <c r="J515" s="2" t="str">
        <f t="shared" si="8"/>
        <v>18–24</v>
      </c>
      <c r="K515" t="str" cm="1">
        <f t="array" ref="K515">_xlfn.IFS(
  OR(MONTH(B515)=12, MONTH(B515)=1, MONTH(B515)=2), "Winter",
  OR(MONTH(B515)=3, MONTH(B515)=4, MONTH(B515)=5), "Spring",
  OR(MONTH(B515)=6, MONTH(B515)=7, MONTH(B515)=8), "Summer",
  OR(MONTH(B515)=9, MONTH(B515)=10, MONTH(B515)=11), "Fall"
)</f>
        <v>Spring</v>
      </c>
    </row>
    <row r="516" spans="1:11">
      <c r="A516">
        <v>515</v>
      </c>
      <c r="B516" s="1">
        <v>45124</v>
      </c>
      <c r="C516" t="s">
        <v>528</v>
      </c>
      <c r="D516" t="s">
        <v>13</v>
      </c>
      <c r="E516" s="2">
        <v>49</v>
      </c>
      <c r="F516" t="s">
        <v>14</v>
      </c>
      <c r="G516" s="2">
        <v>3</v>
      </c>
      <c r="H516" s="3">
        <v>300</v>
      </c>
      <c r="I516" s="3">
        <v>900</v>
      </c>
      <c r="J516" s="2" t="str">
        <f t="shared" si="8"/>
        <v>45–54</v>
      </c>
      <c r="K516" t="str" cm="1">
        <f t="array" ref="K516">_xlfn.IFS(
  OR(MONTH(B516)=12, MONTH(B516)=1, MONTH(B516)=2), "Winter",
  OR(MONTH(B516)=3, MONTH(B516)=4, MONTH(B516)=5), "Spring",
  OR(MONTH(B516)=6, MONTH(B516)=7, MONTH(B516)=8), "Summer",
  OR(MONTH(B516)=9, MONTH(B516)=10, MONTH(B516)=11), "Fall"
)</f>
        <v>Summer</v>
      </c>
    </row>
    <row r="517" spans="1:11">
      <c r="A517">
        <v>516</v>
      </c>
      <c r="B517" s="1">
        <v>45222</v>
      </c>
      <c r="C517" t="s">
        <v>529</v>
      </c>
      <c r="D517" t="s">
        <v>10</v>
      </c>
      <c r="E517" s="2">
        <v>30</v>
      </c>
      <c r="F517" t="s">
        <v>11</v>
      </c>
      <c r="G517" s="2">
        <v>4</v>
      </c>
      <c r="H517" s="3">
        <v>25</v>
      </c>
      <c r="I517" s="3">
        <v>100</v>
      </c>
      <c r="J517" s="2" t="str">
        <f t="shared" si="8"/>
        <v>25–34</v>
      </c>
      <c r="K517" t="str" cm="1">
        <f t="array" ref="K517">_xlfn.IFS(
  OR(MONTH(B517)=12, MONTH(B517)=1, MONTH(B517)=2), "Winter",
  OR(MONTH(B517)=3, MONTH(B517)=4, MONTH(B517)=5), "Spring",
  OR(MONTH(B517)=6, MONTH(B517)=7, MONTH(B517)=8), "Summer",
  OR(MONTH(B517)=9, MONTH(B517)=10, MONTH(B517)=11), "Fall"
)</f>
        <v>Fall</v>
      </c>
    </row>
    <row r="518" spans="1:11">
      <c r="A518">
        <v>517</v>
      </c>
      <c r="B518" s="1">
        <v>45024</v>
      </c>
      <c r="C518" t="s">
        <v>530</v>
      </c>
      <c r="D518" t="s">
        <v>13</v>
      </c>
      <c r="E518" s="2">
        <v>47</v>
      </c>
      <c r="F518" t="s">
        <v>14</v>
      </c>
      <c r="G518" s="2">
        <v>4</v>
      </c>
      <c r="H518" s="3">
        <v>25</v>
      </c>
      <c r="I518" s="3">
        <v>100</v>
      </c>
      <c r="J518" s="2" t="str">
        <f t="shared" si="8"/>
        <v>45–54</v>
      </c>
      <c r="K518" t="str" cm="1">
        <f t="array" ref="K518">_xlfn.IFS(
  OR(MONTH(B518)=12, MONTH(B518)=1, MONTH(B518)=2), "Winter",
  OR(MONTH(B518)=3, MONTH(B518)=4, MONTH(B518)=5), "Spring",
  OR(MONTH(B518)=6, MONTH(B518)=7, MONTH(B518)=8), "Summer",
  OR(MONTH(B518)=9, MONTH(B518)=10, MONTH(B518)=11), "Fall"
)</f>
        <v>Spring</v>
      </c>
    </row>
    <row r="519" spans="1:11">
      <c r="A519">
        <v>518</v>
      </c>
      <c r="B519" s="1">
        <v>45057</v>
      </c>
      <c r="C519" t="s">
        <v>531</v>
      </c>
      <c r="D519" t="s">
        <v>13</v>
      </c>
      <c r="E519" s="2">
        <v>40</v>
      </c>
      <c r="F519" t="s">
        <v>14</v>
      </c>
      <c r="G519" s="2">
        <v>1</v>
      </c>
      <c r="H519" s="3">
        <v>30</v>
      </c>
      <c r="I519" s="3">
        <v>30</v>
      </c>
      <c r="J519" s="2" t="str">
        <f t="shared" si="8"/>
        <v>35–44</v>
      </c>
      <c r="K519" t="str" cm="1">
        <f t="array" ref="K519">_xlfn.IFS(
  OR(MONTH(B519)=12, MONTH(B519)=1, MONTH(B519)=2), "Winter",
  OR(MONTH(B519)=3, MONTH(B519)=4, MONTH(B519)=5), "Spring",
  OR(MONTH(B519)=6, MONTH(B519)=7, MONTH(B519)=8), "Summer",
  OR(MONTH(B519)=9, MONTH(B519)=10, MONTH(B519)=11), "Fall"
)</f>
        <v>Spring</v>
      </c>
    </row>
    <row r="520" spans="1:11">
      <c r="A520">
        <v>519</v>
      </c>
      <c r="B520" s="1">
        <v>44949</v>
      </c>
      <c r="C520" t="s">
        <v>532</v>
      </c>
      <c r="D520" t="s">
        <v>13</v>
      </c>
      <c r="E520" s="2">
        <v>36</v>
      </c>
      <c r="F520" t="s">
        <v>16</v>
      </c>
      <c r="G520" s="2">
        <v>4</v>
      </c>
      <c r="H520" s="3">
        <v>30</v>
      </c>
      <c r="I520" s="3">
        <v>120</v>
      </c>
      <c r="J520" s="2" t="str">
        <f t="shared" si="8"/>
        <v>35–44</v>
      </c>
      <c r="K520" t="str" cm="1">
        <f t="array" ref="K520">_xlfn.IFS(
  OR(MONTH(B520)=12, MONTH(B520)=1, MONTH(B520)=2), "Winter",
  OR(MONTH(B520)=3, MONTH(B520)=4, MONTH(B520)=5), "Spring",
  OR(MONTH(B520)=6, MONTH(B520)=7, MONTH(B520)=8), "Summer",
  OR(MONTH(B520)=9, MONTH(B520)=10, MONTH(B520)=11), "Fall"
)</f>
        <v>Winter</v>
      </c>
    </row>
    <row r="521" spans="1:11">
      <c r="A521">
        <v>520</v>
      </c>
      <c r="B521" s="1">
        <v>45289</v>
      </c>
      <c r="C521" t="s">
        <v>533</v>
      </c>
      <c r="D521" t="s">
        <v>13</v>
      </c>
      <c r="E521" s="2">
        <v>49</v>
      </c>
      <c r="F521" t="s">
        <v>16</v>
      </c>
      <c r="G521" s="2">
        <v>4</v>
      </c>
      <c r="H521" s="3">
        <v>25</v>
      </c>
      <c r="I521" s="3">
        <v>100</v>
      </c>
      <c r="J521" s="2" t="str">
        <f t="shared" si="8"/>
        <v>45–54</v>
      </c>
      <c r="K521" t="str" cm="1">
        <f t="array" ref="K521">_xlfn.IFS(
  OR(MONTH(B521)=12, MONTH(B521)=1, MONTH(B521)=2), "Winter",
  OR(MONTH(B521)=3, MONTH(B521)=4, MONTH(B521)=5), "Spring",
  OR(MONTH(B521)=6, MONTH(B521)=7, MONTH(B521)=8), "Summer",
  OR(MONTH(B521)=9, MONTH(B521)=10, MONTH(B521)=11), "Fall"
)</f>
        <v>Winter</v>
      </c>
    </row>
    <row r="522" spans="1:11">
      <c r="A522">
        <v>521</v>
      </c>
      <c r="B522" s="1">
        <v>45150</v>
      </c>
      <c r="C522" t="s">
        <v>534</v>
      </c>
      <c r="D522" t="s">
        <v>13</v>
      </c>
      <c r="E522" s="2">
        <v>47</v>
      </c>
      <c r="F522" t="s">
        <v>14</v>
      </c>
      <c r="G522" s="2">
        <v>4</v>
      </c>
      <c r="H522" s="3">
        <v>30</v>
      </c>
      <c r="I522" s="3">
        <v>120</v>
      </c>
      <c r="J522" s="2" t="str">
        <f t="shared" si="8"/>
        <v>45–54</v>
      </c>
      <c r="K522" t="str" cm="1">
        <f t="array" ref="K522">_xlfn.IFS(
  OR(MONTH(B522)=12, MONTH(B522)=1, MONTH(B522)=2), "Winter",
  OR(MONTH(B522)=3, MONTH(B522)=4, MONTH(B522)=5), "Spring",
  OR(MONTH(B522)=6, MONTH(B522)=7, MONTH(B522)=8), "Summer",
  OR(MONTH(B522)=9, MONTH(B522)=10, MONTH(B522)=11), "Fall"
)</f>
        <v>Summer</v>
      </c>
    </row>
    <row r="523" spans="1:11">
      <c r="A523">
        <v>522</v>
      </c>
      <c r="B523" s="1">
        <v>44927</v>
      </c>
      <c r="C523" t="s">
        <v>535</v>
      </c>
      <c r="D523" t="s">
        <v>10</v>
      </c>
      <c r="E523" s="2">
        <v>46</v>
      </c>
      <c r="F523" t="s">
        <v>11</v>
      </c>
      <c r="G523" s="2">
        <v>3</v>
      </c>
      <c r="H523" s="3">
        <v>500</v>
      </c>
      <c r="I523" s="3">
        <v>1500</v>
      </c>
      <c r="J523" s="2" t="str">
        <f t="shared" si="8"/>
        <v>45–54</v>
      </c>
      <c r="K523" t="str" cm="1">
        <f t="array" ref="K523">_xlfn.IFS(
  OR(MONTH(B523)=12, MONTH(B523)=1, MONTH(B523)=2), "Winter",
  OR(MONTH(B523)=3, MONTH(B523)=4, MONTH(B523)=5), "Spring",
  OR(MONTH(B523)=6, MONTH(B523)=7, MONTH(B523)=8), "Summer",
  OR(MONTH(B523)=9, MONTH(B523)=10, MONTH(B523)=11), "Fall"
)</f>
        <v>Winter</v>
      </c>
    </row>
    <row r="524" spans="1:11">
      <c r="A524">
        <v>523</v>
      </c>
      <c r="B524" s="1">
        <v>45193</v>
      </c>
      <c r="C524" t="s">
        <v>536</v>
      </c>
      <c r="D524" t="s">
        <v>13</v>
      </c>
      <c r="E524" s="2">
        <v>62</v>
      </c>
      <c r="F524" t="s">
        <v>16</v>
      </c>
      <c r="G524" s="2">
        <v>1</v>
      </c>
      <c r="H524" s="3">
        <v>300</v>
      </c>
      <c r="I524" s="3">
        <v>300</v>
      </c>
      <c r="J524" s="2" t="str">
        <f t="shared" si="8"/>
        <v>55–64</v>
      </c>
      <c r="K524" t="str" cm="1">
        <f t="array" ref="K524">_xlfn.IFS(
  OR(MONTH(B524)=12, MONTH(B524)=1, MONTH(B524)=2), "Winter",
  OR(MONTH(B524)=3, MONTH(B524)=4, MONTH(B524)=5), "Spring",
  OR(MONTH(B524)=6, MONTH(B524)=7, MONTH(B524)=8), "Summer",
  OR(MONTH(B524)=9, MONTH(B524)=10, MONTH(B524)=11), "Fall"
)</f>
        <v>Fall</v>
      </c>
    </row>
    <row r="525" spans="1:11">
      <c r="A525">
        <v>524</v>
      </c>
      <c r="B525" s="1">
        <v>45202</v>
      </c>
      <c r="C525" t="s">
        <v>537</v>
      </c>
      <c r="D525" t="s">
        <v>10</v>
      </c>
      <c r="E525" s="2">
        <v>46</v>
      </c>
      <c r="F525" t="s">
        <v>11</v>
      </c>
      <c r="G525" s="2">
        <v>4</v>
      </c>
      <c r="H525" s="3">
        <v>300</v>
      </c>
      <c r="I525" s="3">
        <v>1200</v>
      </c>
      <c r="J525" s="2" t="str">
        <f t="shared" si="8"/>
        <v>45–54</v>
      </c>
      <c r="K525" t="str" cm="1">
        <f t="array" ref="K525">_xlfn.IFS(
  OR(MONTH(B525)=12, MONTH(B525)=1, MONTH(B525)=2), "Winter",
  OR(MONTH(B525)=3, MONTH(B525)=4, MONTH(B525)=5), "Spring",
  OR(MONTH(B525)=6, MONTH(B525)=7, MONTH(B525)=8), "Summer",
  OR(MONTH(B525)=9, MONTH(B525)=10, MONTH(B525)=11), "Fall"
)</f>
        <v>Fall</v>
      </c>
    </row>
    <row r="526" spans="1:11">
      <c r="A526">
        <v>525</v>
      </c>
      <c r="B526" s="1">
        <v>45278</v>
      </c>
      <c r="C526" t="s">
        <v>538</v>
      </c>
      <c r="D526" t="s">
        <v>13</v>
      </c>
      <c r="E526" s="2">
        <v>47</v>
      </c>
      <c r="F526" t="s">
        <v>11</v>
      </c>
      <c r="G526" s="2">
        <v>2</v>
      </c>
      <c r="H526" s="3">
        <v>25</v>
      </c>
      <c r="I526" s="3">
        <v>50</v>
      </c>
      <c r="J526" s="2" t="str">
        <f t="shared" si="8"/>
        <v>45–54</v>
      </c>
      <c r="K526" t="str" cm="1">
        <f t="array" ref="K526">_xlfn.IFS(
  OR(MONTH(B526)=12, MONTH(B526)=1, MONTH(B526)=2), "Winter",
  OR(MONTH(B526)=3, MONTH(B526)=4, MONTH(B526)=5), "Spring",
  OR(MONTH(B526)=6, MONTH(B526)=7, MONTH(B526)=8), "Summer",
  OR(MONTH(B526)=9, MONTH(B526)=10, MONTH(B526)=11), "Fall"
)</f>
        <v>Winter</v>
      </c>
    </row>
    <row r="527" spans="1:11">
      <c r="A527">
        <v>526</v>
      </c>
      <c r="B527" s="1">
        <v>45270</v>
      </c>
      <c r="C527" t="s">
        <v>539</v>
      </c>
      <c r="D527" t="s">
        <v>10</v>
      </c>
      <c r="E527" s="2">
        <v>33</v>
      </c>
      <c r="F527" t="s">
        <v>14</v>
      </c>
      <c r="G527" s="2">
        <v>2</v>
      </c>
      <c r="H527" s="3">
        <v>50</v>
      </c>
      <c r="I527" s="3">
        <v>100</v>
      </c>
      <c r="J527" s="2" t="str">
        <f t="shared" si="8"/>
        <v>25–34</v>
      </c>
      <c r="K527" t="str" cm="1">
        <f t="array" ref="K527">_xlfn.IFS(
  OR(MONTH(B527)=12, MONTH(B527)=1, MONTH(B527)=2), "Winter",
  OR(MONTH(B527)=3, MONTH(B527)=4, MONTH(B527)=5), "Spring",
  OR(MONTH(B527)=6, MONTH(B527)=7, MONTH(B527)=8), "Summer",
  OR(MONTH(B527)=9, MONTH(B527)=10, MONTH(B527)=11), "Fall"
)</f>
        <v>Winter</v>
      </c>
    </row>
    <row r="528" spans="1:11">
      <c r="A528">
        <v>527</v>
      </c>
      <c r="B528" s="1">
        <v>45027</v>
      </c>
      <c r="C528" t="s">
        <v>540</v>
      </c>
      <c r="D528" t="s">
        <v>10</v>
      </c>
      <c r="E528" s="2">
        <v>57</v>
      </c>
      <c r="F528" t="s">
        <v>14</v>
      </c>
      <c r="G528" s="2">
        <v>2</v>
      </c>
      <c r="H528" s="3">
        <v>25</v>
      </c>
      <c r="I528" s="3">
        <v>50</v>
      </c>
      <c r="J528" s="2" t="str">
        <f t="shared" si="8"/>
        <v>55–64</v>
      </c>
      <c r="K528" t="str" cm="1">
        <f t="array" ref="K528">_xlfn.IFS(
  OR(MONTH(B528)=12, MONTH(B528)=1, MONTH(B528)=2), "Winter",
  OR(MONTH(B528)=3, MONTH(B528)=4, MONTH(B528)=5), "Spring",
  OR(MONTH(B528)=6, MONTH(B528)=7, MONTH(B528)=8), "Summer",
  OR(MONTH(B528)=9, MONTH(B528)=10, MONTH(B528)=11), "Fall"
)</f>
        <v>Spring</v>
      </c>
    </row>
    <row r="529" spans="1:11">
      <c r="A529">
        <v>528</v>
      </c>
      <c r="B529" s="1">
        <v>45113</v>
      </c>
      <c r="C529" t="s">
        <v>541</v>
      </c>
      <c r="D529" t="s">
        <v>13</v>
      </c>
      <c r="E529" s="2">
        <v>36</v>
      </c>
      <c r="F529" t="s">
        <v>14</v>
      </c>
      <c r="G529" s="2">
        <v>2</v>
      </c>
      <c r="H529" s="3">
        <v>30</v>
      </c>
      <c r="I529" s="3">
        <v>60</v>
      </c>
      <c r="J529" s="2" t="str">
        <f t="shared" si="8"/>
        <v>35–44</v>
      </c>
      <c r="K529" t="str" cm="1">
        <f t="array" ref="K529">_xlfn.IFS(
  OR(MONTH(B529)=12, MONTH(B529)=1, MONTH(B529)=2), "Winter",
  OR(MONTH(B529)=3, MONTH(B529)=4, MONTH(B529)=5), "Spring",
  OR(MONTH(B529)=6, MONTH(B529)=7, MONTH(B529)=8), "Summer",
  OR(MONTH(B529)=9, MONTH(B529)=10, MONTH(B529)=11), "Fall"
)</f>
        <v>Summer</v>
      </c>
    </row>
    <row r="530" spans="1:11">
      <c r="A530">
        <v>529</v>
      </c>
      <c r="B530" s="1">
        <v>45147</v>
      </c>
      <c r="C530" t="s">
        <v>542</v>
      </c>
      <c r="D530" t="s">
        <v>13</v>
      </c>
      <c r="E530" s="2">
        <v>35</v>
      </c>
      <c r="F530" t="s">
        <v>14</v>
      </c>
      <c r="G530" s="2">
        <v>3</v>
      </c>
      <c r="H530" s="3">
        <v>50</v>
      </c>
      <c r="I530" s="3">
        <v>150</v>
      </c>
      <c r="J530" s="2" t="str">
        <f t="shared" si="8"/>
        <v>35–44</v>
      </c>
      <c r="K530" t="str" cm="1">
        <f t="array" ref="K530">_xlfn.IFS(
  OR(MONTH(B530)=12, MONTH(B530)=1, MONTH(B530)=2), "Winter",
  OR(MONTH(B530)=3, MONTH(B530)=4, MONTH(B530)=5), "Spring",
  OR(MONTH(B530)=6, MONTH(B530)=7, MONTH(B530)=8), "Summer",
  OR(MONTH(B530)=9, MONTH(B530)=10, MONTH(B530)=11), "Fall"
)</f>
        <v>Summer</v>
      </c>
    </row>
    <row r="531" spans="1:11">
      <c r="A531">
        <v>530</v>
      </c>
      <c r="B531" s="1">
        <v>44962</v>
      </c>
      <c r="C531" t="s">
        <v>543</v>
      </c>
      <c r="D531" t="s">
        <v>13</v>
      </c>
      <c r="E531" s="2">
        <v>18</v>
      </c>
      <c r="F531" t="s">
        <v>16</v>
      </c>
      <c r="G531" s="2">
        <v>4</v>
      </c>
      <c r="H531" s="3">
        <v>30</v>
      </c>
      <c r="I531" s="3">
        <v>120</v>
      </c>
      <c r="J531" s="2" t="str">
        <f t="shared" si="8"/>
        <v>18–24</v>
      </c>
      <c r="K531" t="str" cm="1">
        <f t="array" ref="K531">_xlfn.IFS(
  OR(MONTH(B531)=12, MONTH(B531)=1, MONTH(B531)=2), "Winter",
  OR(MONTH(B531)=3, MONTH(B531)=4, MONTH(B531)=5), "Spring",
  OR(MONTH(B531)=6, MONTH(B531)=7, MONTH(B531)=8), "Summer",
  OR(MONTH(B531)=9, MONTH(B531)=10, MONTH(B531)=11), "Fall"
)</f>
        <v>Winter</v>
      </c>
    </row>
    <row r="532" spans="1:11">
      <c r="A532">
        <v>531</v>
      </c>
      <c r="B532" s="1">
        <v>45267</v>
      </c>
      <c r="C532" t="s">
        <v>544</v>
      </c>
      <c r="D532" t="s">
        <v>10</v>
      </c>
      <c r="E532" s="2">
        <v>31</v>
      </c>
      <c r="F532" t="s">
        <v>16</v>
      </c>
      <c r="G532" s="2">
        <v>1</v>
      </c>
      <c r="H532" s="3">
        <v>500</v>
      </c>
      <c r="I532" s="3">
        <v>500</v>
      </c>
      <c r="J532" s="2" t="str">
        <f t="shared" si="8"/>
        <v>25–34</v>
      </c>
      <c r="K532" t="str" cm="1">
        <f t="array" ref="K532">_xlfn.IFS(
  OR(MONTH(B532)=12, MONTH(B532)=1, MONTH(B532)=2), "Winter",
  OR(MONTH(B532)=3, MONTH(B532)=4, MONTH(B532)=5), "Spring",
  OR(MONTH(B532)=6, MONTH(B532)=7, MONTH(B532)=8), "Summer",
  OR(MONTH(B532)=9, MONTH(B532)=10, MONTH(B532)=11), "Fall"
)</f>
        <v>Winter</v>
      </c>
    </row>
    <row r="533" spans="1:11">
      <c r="A533">
        <v>532</v>
      </c>
      <c r="B533" s="1">
        <v>45096</v>
      </c>
      <c r="C533" t="s">
        <v>545</v>
      </c>
      <c r="D533" t="s">
        <v>13</v>
      </c>
      <c r="E533" s="2">
        <v>64</v>
      </c>
      <c r="F533" t="s">
        <v>14</v>
      </c>
      <c r="G533" s="2">
        <v>4</v>
      </c>
      <c r="H533" s="3">
        <v>30</v>
      </c>
      <c r="I533" s="3">
        <v>120</v>
      </c>
      <c r="J533" s="2" t="str">
        <f t="shared" si="8"/>
        <v>55–64</v>
      </c>
      <c r="K533" t="str" cm="1">
        <f t="array" ref="K533">_xlfn.IFS(
  OR(MONTH(B533)=12, MONTH(B533)=1, MONTH(B533)=2), "Winter",
  OR(MONTH(B533)=3, MONTH(B533)=4, MONTH(B533)=5), "Spring",
  OR(MONTH(B533)=6, MONTH(B533)=7, MONTH(B533)=8), "Summer",
  OR(MONTH(B533)=9, MONTH(B533)=10, MONTH(B533)=11), "Fall"
)</f>
        <v>Summer</v>
      </c>
    </row>
    <row r="534" spans="1:11">
      <c r="A534">
        <v>533</v>
      </c>
      <c r="B534" s="1">
        <v>45246</v>
      </c>
      <c r="C534" t="s">
        <v>546</v>
      </c>
      <c r="D534" t="s">
        <v>10</v>
      </c>
      <c r="E534" s="2">
        <v>19</v>
      </c>
      <c r="F534" t="s">
        <v>16</v>
      </c>
      <c r="G534" s="2">
        <v>3</v>
      </c>
      <c r="H534" s="3">
        <v>500</v>
      </c>
      <c r="I534" s="3">
        <v>1500</v>
      </c>
      <c r="J534" s="2" t="str">
        <f t="shared" si="8"/>
        <v>18–24</v>
      </c>
      <c r="K534" t="str" cm="1">
        <f t="array" ref="K534">_xlfn.IFS(
  OR(MONTH(B534)=12, MONTH(B534)=1, MONTH(B534)=2), "Winter",
  OR(MONTH(B534)=3, MONTH(B534)=4, MONTH(B534)=5), "Spring",
  OR(MONTH(B534)=6, MONTH(B534)=7, MONTH(B534)=8), "Summer",
  OR(MONTH(B534)=9, MONTH(B534)=10, MONTH(B534)=11), "Fall"
)</f>
        <v>Fall</v>
      </c>
    </row>
    <row r="535" spans="1:11">
      <c r="A535">
        <v>534</v>
      </c>
      <c r="B535" s="1">
        <v>45087</v>
      </c>
      <c r="C535" t="s">
        <v>547</v>
      </c>
      <c r="D535" t="s">
        <v>10</v>
      </c>
      <c r="E535" s="2">
        <v>45</v>
      </c>
      <c r="F535" t="s">
        <v>14</v>
      </c>
      <c r="G535" s="2">
        <v>2</v>
      </c>
      <c r="H535" s="3">
        <v>500</v>
      </c>
      <c r="I535" s="3">
        <v>1000</v>
      </c>
      <c r="J535" s="2" t="str">
        <f t="shared" si="8"/>
        <v>45–54</v>
      </c>
      <c r="K535" t="str" cm="1">
        <f t="array" ref="K535">_xlfn.IFS(
  OR(MONTH(B535)=12, MONTH(B535)=1, MONTH(B535)=2), "Winter",
  OR(MONTH(B535)=3, MONTH(B535)=4, MONTH(B535)=5), "Spring",
  OR(MONTH(B535)=6, MONTH(B535)=7, MONTH(B535)=8), "Summer",
  OR(MONTH(B535)=9, MONTH(B535)=10, MONTH(B535)=11), "Fall"
)</f>
        <v>Summer</v>
      </c>
    </row>
    <row r="536" spans="1:11">
      <c r="A536">
        <v>535</v>
      </c>
      <c r="B536" s="1">
        <v>45266</v>
      </c>
      <c r="C536" t="s">
        <v>548</v>
      </c>
      <c r="D536" t="s">
        <v>10</v>
      </c>
      <c r="E536" s="2">
        <v>47</v>
      </c>
      <c r="F536" t="s">
        <v>11</v>
      </c>
      <c r="G536" s="2">
        <v>3</v>
      </c>
      <c r="H536" s="3">
        <v>30</v>
      </c>
      <c r="I536" s="3">
        <v>90</v>
      </c>
      <c r="J536" s="2" t="str">
        <f t="shared" si="8"/>
        <v>45–54</v>
      </c>
      <c r="K536" t="str" cm="1">
        <f t="array" ref="K536">_xlfn.IFS(
  OR(MONTH(B536)=12, MONTH(B536)=1, MONTH(B536)=2), "Winter",
  OR(MONTH(B536)=3, MONTH(B536)=4, MONTH(B536)=5), "Spring",
  OR(MONTH(B536)=6, MONTH(B536)=7, MONTH(B536)=8), "Summer",
  OR(MONTH(B536)=9, MONTH(B536)=10, MONTH(B536)=11), "Fall"
)</f>
        <v>Winter</v>
      </c>
    </row>
    <row r="537" spans="1:11">
      <c r="A537">
        <v>536</v>
      </c>
      <c r="B537" s="1">
        <v>44990</v>
      </c>
      <c r="C537" t="s">
        <v>549</v>
      </c>
      <c r="D537" t="s">
        <v>13</v>
      </c>
      <c r="E537" s="2">
        <v>55</v>
      </c>
      <c r="F537" t="s">
        <v>11</v>
      </c>
      <c r="G537" s="2">
        <v>4</v>
      </c>
      <c r="H537" s="3">
        <v>30</v>
      </c>
      <c r="I537" s="3">
        <v>120</v>
      </c>
      <c r="J537" s="2" t="str">
        <f t="shared" si="8"/>
        <v>55–64</v>
      </c>
      <c r="K537" t="str" cm="1">
        <f t="array" ref="K537">_xlfn.IFS(
  OR(MONTH(B537)=12, MONTH(B537)=1, MONTH(B537)=2), "Winter",
  OR(MONTH(B537)=3, MONTH(B537)=4, MONTH(B537)=5), "Spring",
  OR(MONTH(B537)=6, MONTH(B537)=7, MONTH(B537)=8), "Summer",
  OR(MONTH(B537)=9, MONTH(B537)=10, MONTH(B537)=11), "Fall"
)</f>
        <v>Spring</v>
      </c>
    </row>
    <row r="538" spans="1:11">
      <c r="A538">
        <v>537</v>
      </c>
      <c r="B538" s="1">
        <v>45080</v>
      </c>
      <c r="C538" t="s">
        <v>550</v>
      </c>
      <c r="D538" t="s">
        <v>13</v>
      </c>
      <c r="E538" s="2">
        <v>21</v>
      </c>
      <c r="F538" t="s">
        <v>11</v>
      </c>
      <c r="G538" s="2">
        <v>1</v>
      </c>
      <c r="H538" s="3">
        <v>500</v>
      </c>
      <c r="I538" s="3">
        <v>500</v>
      </c>
      <c r="J538" s="2" t="str">
        <f t="shared" si="8"/>
        <v>18–24</v>
      </c>
      <c r="K538" t="str" cm="1">
        <f t="array" ref="K538">_xlfn.IFS(
  OR(MONTH(B538)=12, MONTH(B538)=1, MONTH(B538)=2), "Winter",
  OR(MONTH(B538)=3, MONTH(B538)=4, MONTH(B538)=5), "Spring",
  OR(MONTH(B538)=6, MONTH(B538)=7, MONTH(B538)=8), "Summer",
  OR(MONTH(B538)=9, MONTH(B538)=10, MONTH(B538)=11), "Fall"
)</f>
        <v>Summer</v>
      </c>
    </row>
    <row r="539" spans="1:11">
      <c r="A539">
        <v>538</v>
      </c>
      <c r="B539" s="1">
        <v>45186</v>
      </c>
      <c r="C539" t="s">
        <v>551</v>
      </c>
      <c r="D539" t="s">
        <v>10</v>
      </c>
      <c r="E539" s="2">
        <v>18</v>
      </c>
      <c r="F539" t="s">
        <v>14</v>
      </c>
      <c r="G539" s="2">
        <v>3</v>
      </c>
      <c r="H539" s="3">
        <v>50</v>
      </c>
      <c r="I539" s="3">
        <v>150</v>
      </c>
      <c r="J539" s="2" t="str">
        <f t="shared" si="8"/>
        <v>18–24</v>
      </c>
      <c r="K539" t="str" cm="1">
        <f t="array" ref="K539">_xlfn.IFS(
  OR(MONTH(B539)=12, MONTH(B539)=1, MONTH(B539)=2), "Winter",
  OR(MONTH(B539)=3, MONTH(B539)=4, MONTH(B539)=5), "Spring",
  OR(MONTH(B539)=6, MONTH(B539)=7, MONTH(B539)=8), "Summer",
  OR(MONTH(B539)=9, MONTH(B539)=10, MONTH(B539)=11), "Fall"
)</f>
        <v>Fall</v>
      </c>
    </row>
    <row r="540" spans="1:11">
      <c r="A540">
        <v>539</v>
      </c>
      <c r="B540" s="1">
        <v>45085</v>
      </c>
      <c r="C540" t="s">
        <v>552</v>
      </c>
      <c r="D540" t="s">
        <v>10</v>
      </c>
      <c r="E540" s="2">
        <v>25</v>
      </c>
      <c r="F540" t="s">
        <v>11</v>
      </c>
      <c r="G540" s="2">
        <v>1</v>
      </c>
      <c r="H540" s="3">
        <v>500</v>
      </c>
      <c r="I540" s="3">
        <v>500</v>
      </c>
      <c r="J540" s="2" t="str">
        <f t="shared" si="8"/>
        <v>25–34</v>
      </c>
      <c r="K540" t="str" cm="1">
        <f t="array" ref="K540">_xlfn.IFS(
  OR(MONTH(B540)=12, MONTH(B540)=1, MONTH(B540)=2), "Winter",
  OR(MONTH(B540)=3, MONTH(B540)=4, MONTH(B540)=5), "Spring",
  OR(MONTH(B540)=6, MONTH(B540)=7, MONTH(B540)=8), "Summer",
  OR(MONTH(B540)=9, MONTH(B540)=10, MONTH(B540)=11), "Fall"
)</f>
        <v>Summer</v>
      </c>
    </row>
    <row r="541" spans="1:11">
      <c r="A541">
        <v>540</v>
      </c>
      <c r="B541" s="1">
        <v>45268</v>
      </c>
      <c r="C541" t="s">
        <v>553</v>
      </c>
      <c r="D541" t="s">
        <v>13</v>
      </c>
      <c r="E541" s="2">
        <v>46</v>
      </c>
      <c r="F541" t="s">
        <v>16</v>
      </c>
      <c r="G541" s="2">
        <v>3</v>
      </c>
      <c r="H541" s="3">
        <v>300</v>
      </c>
      <c r="I541" s="3">
        <v>900</v>
      </c>
      <c r="J541" s="2" t="str">
        <f t="shared" si="8"/>
        <v>45–54</v>
      </c>
      <c r="K541" t="str" cm="1">
        <f t="array" ref="K541">_xlfn.IFS(
  OR(MONTH(B541)=12, MONTH(B541)=1, MONTH(B541)=2), "Winter",
  OR(MONTH(B541)=3, MONTH(B541)=4, MONTH(B541)=5), "Spring",
  OR(MONTH(B541)=6, MONTH(B541)=7, MONTH(B541)=8), "Summer",
  OR(MONTH(B541)=9, MONTH(B541)=10, MONTH(B541)=11), "Fall"
)</f>
        <v>Winter</v>
      </c>
    </row>
    <row r="542" spans="1:11">
      <c r="A542">
        <v>541</v>
      </c>
      <c r="B542" s="1">
        <v>45136</v>
      </c>
      <c r="C542" t="s">
        <v>554</v>
      </c>
      <c r="D542" t="s">
        <v>10</v>
      </c>
      <c r="E542" s="2">
        <v>56</v>
      </c>
      <c r="F542" t="s">
        <v>11</v>
      </c>
      <c r="G542" s="2">
        <v>1</v>
      </c>
      <c r="H542" s="3">
        <v>500</v>
      </c>
      <c r="I542" s="3">
        <v>500</v>
      </c>
      <c r="J542" s="2" t="str">
        <f t="shared" si="8"/>
        <v>55–64</v>
      </c>
      <c r="K542" t="str" cm="1">
        <f t="array" ref="K542">_xlfn.IFS(
  OR(MONTH(B542)=12, MONTH(B542)=1, MONTH(B542)=2), "Winter",
  OR(MONTH(B542)=3, MONTH(B542)=4, MONTH(B542)=5), "Spring",
  OR(MONTH(B542)=6, MONTH(B542)=7, MONTH(B542)=8), "Summer",
  OR(MONTH(B542)=9, MONTH(B542)=10, MONTH(B542)=11), "Fall"
)</f>
        <v>Summer</v>
      </c>
    </row>
    <row r="543" spans="1:11">
      <c r="A543">
        <v>542</v>
      </c>
      <c r="B543" s="1">
        <v>45094</v>
      </c>
      <c r="C543" t="s">
        <v>555</v>
      </c>
      <c r="D543" t="s">
        <v>13</v>
      </c>
      <c r="E543" s="2">
        <v>20</v>
      </c>
      <c r="F543" t="s">
        <v>11</v>
      </c>
      <c r="G543" s="2">
        <v>1</v>
      </c>
      <c r="H543" s="3">
        <v>50</v>
      </c>
      <c r="I543" s="3">
        <v>50</v>
      </c>
      <c r="J543" s="2" t="str">
        <f t="shared" si="8"/>
        <v>18–24</v>
      </c>
      <c r="K543" t="str" cm="1">
        <f t="array" ref="K543">_xlfn.IFS(
  OR(MONTH(B543)=12, MONTH(B543)=1, MONTH(B543)=2), "Winter",
  OR(MONTH(B543)=3, MONTH(B543)=4, MONTH(B543)=5), "Spring",
  OR(MONTH(B543)=6, MONTH(B543)=7, MONTH(B543)=8), "Summer",
  OR(MONTH(B543)=9, MONTH(B543)=10, MONTH(B543)=11), "Fall"
)</f>
        <v>Summer</v>
      </c>
    </row>
    <row r="544" spans="1:11">
      <c r="A544">
        <v>543</v>
      </c>
      <c r="B544" s="1">
        <v>45133</v>
      </c>
      <c r="C544" t="s">
        <v>556</v>
      </c>
      <c r="D544" t="s">
        <v>10</v>
      </c>
      <c r="E544" s="2">
        <v>49</v>
      </c>
      <c r="F544" t="s">
        <v>11</v>
      </c>
      <c r="G544" s="2">
        <v>2</v>
      </c>
      <c r="H544" s="3">
        <v>300</v>
      </c>
      <c r="I544" s="3">
        <v>600</v>
      </c>
      <c r="J544" s="2" t="str">
        <f t="shared" si="8"/>
        <v>45–54</v>
      </c>
      <c r="K544" t="str" cm="1">
        <f t="array" ref="K544">_xlfn.IFS(
  OR(MONTH(B544)=12, MONTH(B544)=1, MONTH(B544)=2), "Winter",
  OR(MONTH(B544)=3, MONTH(B544)=4, MONTH(B544)=5), "Spring",
  OR(MONTH(B544)=6, MONTH(B544)=7, MONTH(B544)=8), "Summer",
  OR(MONTH(B544)=9, MONTH(B544)=10, MONTH(B544)=11), "Fall"
)</f>
        <v>Summer</v>
      </c>
    </row>
    <row r="545" spans="1:11">
      <c r="A545">
        <v>544</v>
      </c>
      <c r="B545" s="1">
        <v>45283</v>
      </c>
      <c r="C545" t="s">
        <v>557</v>
      </c>
      <c r="D545" t="s">
        <v>13</v>
      </c>
      <c r="E545" s="2">
        <v>27</v>
      </c>
      <c r="F545" t="s">
        <v>16</v>
      </c>
      <c r="G545" s="2">
        <v>1</v>
      </c>
      <c r="H545" s="3">
        <v>25</v>
      </c>
      <c r="I545" s="3">
        <v>25</v>
      </c>
      <c r="J545" s="2" t="str">
        <f t="shared" si="8"/>
        <v>25–34</v>
      </c>
      <c r="K545" t="str" cm="1">
        <f t="array" ref="K545">_xlfn.IFS(
  OR(MONTH(B545)=12, MONTH(B545)=1, MONTH(B545)=2), "Winter",
  OR(MONTH(B545)=3, MONTH(B545)=4, MONTH(B545)=5), "Spring",
  OR(MONTH(B545)=6, MONTH(B545)=7, MONTH(B545)=8), "Summer",
  OR(MONTH(B545)=9, MONTH(B545)=10, MONTH(B545)=11), "Fall"
)</f>
        <v>Winter</v>
      </c>
    </row>
    <row r="546" spans="1:11">
      <c r="A546">
        <v>545</v>
      </c>
      <c r="B546" s="1">
        <v>45078</v>
      </c>
      <c r="C546" t="s">
        <v>558</v>
      </c>
      <c r="D546" t="s">
        <v>10</v>
      </c>
      <c r="E546" s="2">
        <v>27</v>
      </c>
      <c r="F546" t="s">
        <v>14</v>
      </c>
      <c r="G546" s="2">
        <v>2</v>
      </c>
      <c r="H546" s="3">
        <v>25</v>
      </c>
      <c r="I546" s="3">
        <v>50</v>
      </c>
      <c r="J546" s="2" t="str">
        <f t="shared" si="8"/>
        <v>25–34</v>
      </c>
      <c r="K546" t="str" cm="1">
        <f t="array" ref="K546">_xlfn.IFS(
  OR(MONTH(B546)=12, MONTH(B546)=1, MONTH(B546)=2), "Winter",
  OR(MONTH(B546)=3, MONTH(B546)=4, MONTH(B546)=5), "Spring",
  OR(MONTH(B546)=6, MONTH(B546)=7, MONTH(B546)=8), "Summer",
  OR(MONTH(B546)=9, MONTH(B546)=10, MONTH(B546)=11), "Fall"
)</f>
        <v>Summer</v>
      </c>
    </row>
    <row r="547" spans="1:11">
      <c r="A547">
        <v>546</v>
      </c>
      <c r="B547" s="1">
        <v>45210</v>
      </c>
      <c r="C547" t="s">
        <v>559</v>
      </c>
      <c r="D547" t="s">
        <v>13</v>
      </c>
      <c r="E547" s="2">
        <v>36</v>
      </c>
      <c r="F547" t="s">
        <v>16</v>
      </c>
      <c r="G547" s="2">
        <v>4</v>
      </c>
      <c r="H547" s="3">
        <v>50</v>
      </c>
      <c r="I547" s="3">
        <v>200</v>
      </c>
      <c r="J547" s="2" t="str">
        <f t="shared" si="8"/>
        <v>35–44</v>
      </c>
      <c r="K547" t="str" cm="1">
        <f t="array" ref="K547">_xlfn.IFS(
  OR(MONTH(B547)=12, MONTH(B547)=1, MONTH(B547)=2), "Winter",
  OR(MONTH(B547)=3, MONTH(B547)=4, MONTH(B547)=5), "Spring",
  OR(MONTH(B547)=6, MONTH(B547)=7, MONTH(B547)=8), "Summer",
  OR(MONTH(B547)=9, MONTH(B547)=10, MONTH(B547)=11), "Fall"
)</f>
        <v>Fall</v>
      </c>
    </row>
    <row r="548" spans="1:11">
      <c r="A548">
        <v>547</v>
      </c>
      <c r="B548" s="1">
        <v>44992</v>
      </c>
      <c r="C548" t="s">
        <v>560</v>
      </c>
      <c r="D548" t="s">
        <v>10</v>
      </c>
      <c r="E548" s="2">
        <v>63</v>
      </c>
      <c r="F548" t="s">
        <v>14</v>
      </c>
      <c r="G548" s="2">
        <v>4</v>
      </c>
      <c r="H548" s="3">
        <v>500</v>
      </c>
      <c r="I548" s="3">
        <v>2000</v>
      </c>
      <c r="J548" s="2" t="str">
        <f t="shared" si="8"/>
        <v>55–64</v>
      </c>
      <c r="K548" t="str" cm="1">
        <f t="array" ref="K548">_xlfn.IFS(
  OR(MONTH(B548)=12, MONTH(B548)=1, MONTH(B548)=2), "Winter",
  OR(MONTH(B548)=3, MONTH(B548)=4, MONTH(B548)=5), "Spring",
  OR(MONTH(B548)=6, MONTH(B548)=7, MONTH(B548)=8), "Summer",
  OR(MONTH(B548)=9, MONTH(B548)=10, MONTH(B548)=11), "Fall"
)</f>
        <v>Spring</v>
      </c>
    </row>
    <row r="549" spans="1:11">
      <c r="A549">
        <v>548</v>
      </c>
      <c r="B549" s="1">
        <v>45025</v>
      </c>
      <c r="C549" t="s">
        <v>561</v>
      </c>
      <c r="D549" t="s">
        <v>13</v>
      </c>
      <c r="E549" s="2">
        <v>51</v>
      </c>
      <c r="F549" t="s">
        <v>14</v>
      </c>
      <c r="G549" s="2">
        <v>2</v>
      </c>
      <c r="H549" s="3">
        <v>30</v>
      </c>
      <c r="I549" s="3">
        <v>60</v>
      </c>
      <c r="J549" s="2" t="str">
        <f t="shared" si="8"/>
        <v>45–54</v>
      </c>
      <c r="K549" t="str" cm="1">
        <f t="array" ref="K549">_xlfn.IFS(
  OR(MONTH(B549)=12, MONTH(B549)=1, MONTH(B549)=2), "Winter",
  OR(MONTH(B549)=3, MONTH(B549)=4, MONTH(B549)=5), "Spring",
  OR(MONTH(B549)=6, MONTH(B549)=7, MONTH(B549)=8), "Summer",
  OR(MONTH(B549)=9, MONTH(B549)=10, MONTH(B549)=11), "Fall"
)</f>
        <v>Spring</v>
      </c>
    </row>
    <row r="550" spans="1:11">
      <c r="A550">
        <v>549</v>
      </c>
      <c r="B550" s="1">
        <v>45142</v>
      </c>
      <c r="C550" t="s">
        <v>562</v>
      </c>
      <c r="D550" t="s">
        <v>13</v>
      </c>
      <c r="E550" s="2">
        <v>50</v>
      </c>
      <c r="F550" t="s">
        <v>11</v>
      </c>
      <c r="G550" s="2">
        <v>2</v>
      </c>
      <c r="H550" s="3">
        <v>50</v>
      </c>
      <c r="I550" s="3">
        <v>100</v>
      </c>
      <c r="J550" s="2" t="str">
        <f t="shared" si="8"/>
        <v>45–54</v>
      </c>
      <c r="K550" t="str" cm="1">
        <f t="array" ref="K550">_xlfn.IFS(
  OR(MONTH(B550)=12, MONTH(B550)=1, MONTH(B550)=2), "Winter",
  OR(MONTH(B550)=3, MONTH(B550)=4, MONTH(B550)=5), "Spring",
  OR(MONTH(B550)=6, MONTH(B550)=7, MONTH(B550)=8), "Summer",
  OR(MONTH(B550)=9, MONTH(B550)=10, MONTH(B550)=11), "Fall"
)</f>
        <v>Summer</v>
      </c>
    </row>
    <row r="551" spans="1:11">
      <c r="A551">
        <v>550</v>
      </c>
      <c r="B551" s="1">
        <v>45267</v>
      </c>
      <c r="C551" t="s">
        <v>563</v>
      </c>
      <c r="D551" t="s">
        <v>10</v>
      </c>
      <c r="E551" s="2">
        <v>40</v>
      </c>
      <c r="F551" t="s">
        <v>14</v>
      </c>
      <c r="G551" s="2">
        <v>3</v>
      </c>
      <c r="H551" s="3">
        <v>300</v>
      </c>
      <c r="I551" s="3">
        <v>900</v>
      </c>
      <c r="J551" s="2" t="str">
        <f t="shared" si="8"/>
        <v>35–44</v>
      </c>
      <c r="K551" t="str" cm="1">
        <f t="array" ref="K551">_xlfn.IFS(
  OR(MONTH(B551)=12, MONTH(B551)=1, MONTH(B551)=2), "Winter",
  OR(MONTH(B551)=3, MONTH(B551)=4, MONTH(B551)=5), "Spring",
  OR(MONTH(B551)=6, MONTH(B551)=7, MONTH(B551)=8), "Summer",
  OR(MONTH(B551)=9, MONTH(B551)=10, MONTH(B551)=11), "Fall"
)</f>
        <v>Winter</v>
      </c>
    </row>
    <row r="552" spans="1:11">
      <c r="A552">
        <v>551</v>
      </c>
      <c r="B552" s="1">
        <v>45121</v>
      </c>
      <c r="C552" t="s">
        <v>564</v>
      </c>
      <c r="D552" t="s">
        <v>10</v>
      </c>
      <c r="E552" s="2">
        <v>45</v>
      </c>
      <c r="F552" t="s">
        <v>16</v>
      </c>
      <c r="G552" s="2">
        <v>3</v>
      </c>
      <c r="H552" s="3">
        <v>300</v>
      </c>
      <c r="I552" s="3">
        <v>900</v>
      </c>
      <c r="J552" s="2" t="str">
        <f t="shared" si="8"/>
        <v>45–54</v>
      </c>
      <c r="K552" t="str" cm="1">
        <f t="array" ref="K552">_xlfn.IFS(
  OR(MONTH(B552)=12, MONTH(B552)=1, MONTH(B552)=2), "Winter",
  OR(MONTH(B552)=3, MONTH(B552)=4, MONTH(B552)=5), "Spring",
  OR(MONTH(B552)=6, MONTH(B552)=7, MONTH(B552)=8), "Summer",
  OR(MONTH(B552)=9, MONTH(B552)=10, MONTH(B552)=11), "Fall"
)</f>
        <v>Summer</v>
      </c>
    </row>
    <row r="553" spans="1:11">
      <c r="A553">
        <v>552</v>
      </c>
      <c r="B553" s="1">
        <v>45273</v>
      </c>
      <c r="C553" t="s">
        <v>565</v>
      </c>
      <c r="D553" t="s">
        <v>13</v>
      </c>
      <c r="E553" s="2">
        <v>49</v>
      </c>
      <c r="F553" t="s">
        <v>16</v>
      </c>
      <c r="G553" s="2">
        <v>3</v>
      </c>
      <c r="H553" s="3">
        <v>25</v>
      </c>
      <c r="I553" s="3">
        <v>75</v>
      </c>
      <c r="J553" s="2" t="str">
        <f t="shared" si="8"/>
        <v>45–54</v>
      </c>
      <c r="K553" t="str" cm="1">
        <f t="array" ref="K553">_xlfn.IFS(
  OR(MONTH(B553)=12, MONTH(B553)=1, MONTH(B553)=2), "Winter",
  OR(MONTH(B553)=3, MONTH(B553)=4, MONTH(B553)=5), "Spring",
  OR(MONTH(B553)=6, MONTH(B553)=7, MONTH(B553)=8), "Summer",
  OR(MONTH(B553)=9, MONTH(B553)=10, MONTH(B553)=11), "Fall"
)</f>
        <v>Winter</v>
      </c>
    </row>
    <row r="554" spans="1:11">
      <c r="A554">
        <v>553</v>
      </c>
      <c r="B554" s="1">
        <v>45016</v>
      </c>
      <c r="C554" t="s">
        <v>566</v>
      </c>
      <c r="D554" t="s">
        <v>10</v>
      </c>
      <c r="E554" s="2">
        <v>24</v>
      </c>
      <c r="F554" t="s">
        <v>14</v>
      </c>
      <c r="G554" s="2">
        <v>4</v>
      </c>
      <c r="H554" s="3">
        <v>300</v>
      </c>
      <c r="I554" s="3">
        <v>1200</v>
      </c>
      <c r="J554" s="2" t="str">
        <f t="shared" si="8"/>
        <v>18–24</v>
      </c>
      <c r="K554" t="str" cm="1">
        <f t="array" ref="K554">_xlfn.IFS(
  OR(MONTH(B554)=12, MONTH(B554)=1, MONTH(B554)=2), "Winter",
  OR(MONTH(B554)=3, MONTH(B554)=4, MONTH(B554)=5), "Spring",
  OR(MONTH(B554)=6, MONTH(B554)=7, MONTH(B554)=8), "Summer",
  OR(MONTH(B554)=9, MONTH(B554)=10, MONTH(B554)=11), "Fall"
)</f>
        <v>Spring</v>
      </c>
    </row>
    <row r="555" spans="1:11">
      <c r="A555">
        <v>554</v>
      </c>
      <c r="B555" s="1">
        <v>45242</v>
      </c>
      <c r="C555" t="s">
        <v>567</v>
      </c>
      <c r="D555" t="s">
        <v>13</v>
      </c>
      <c r="E555" s="2">
        <v>46</v>
      </c>
      <c r="F555" t="s">
        <v>11</v>
      </c>
      <c r="G555" s="2">
        <v>3</v>
      </c>
      <c r="H555" s="3">
        <v>50</v>
      </c>
      <c r="I555" s="3">
        <v>150</v>
      </c>
      <c r="J555" s="2" t="str">
        <f t="shared" si="8"/>
        <v>45–54</v>
      </c>
      <c r="K555" t="str" cm="1">
        <f t="array" ref="K555">_xlfn.IFS(
  OR(MONTH(B555)=12, MONTH(B555)=1, MONTH(B555)=2), "Winter",
  OR(MONTH(B555)=3, MONTH(B555)=4, MONTH(B555)=5), "Spring",
  OR(MONTH(B555)=6, MONTH(B555)=7, MONTH(B555)=8), "Summer",
  OR(MONTH(B555)=9, MONTH(B555)=10, MONTH(B555)=11), "Fall"
)</f>
        <v>Fall</v>
      </c>
    </row>
    <row r="556" spans="1:11">
      <c r="A556">
        <v>555</v>
      </c>
      <c r="B556" s="1">
        <v>45218</v>
      </c>
      <c r="C556" t="s">
        <v>568</v>
      </c>
      <c r="D556" t="s">
        <v>10</v>
      </c>
      <c r="E556" s="2">
        <v>25</v>
      </c>
      <c r="F556" t="s">
        <v>11</v>
      </c>
      <c r="G556" s="2">
        <v>1</v>
      </c>
      <c r="H556" s="3">
        <v>300</v>
      </c>
      <c r="I556" s="3">
        <v>300</v>
      </c>
      <c r="J556" s="2" t="str">
        <f t="shared" si="8"/>
        <v>25–34</v>
      </c>
      <c r="K556" t="str" cm="1">
        <f t="array" ref="K556">_xlfn.IFS(
  OR(MONTH(B556)=12, MONTH(B556)=1, MONTH(B556)=2), "Winter",
  OR(MONTH(B556)=3, MONTH(B556)=4, MONTH(B556)=5), "Spring",
  OR(MONTH(B556)=6, MONTH(B556)=7, MONTH(B556)=8), "Summer",
  OR(MONTH(B556)=9, MONTH(B556)=10, MONTH(B556)=11), "Fall"
)</f>
        <v>Fall</v>
      </c>
    </row>
    <row r="557" spans="1:11">
      <c r="A557">
        <v>556</v>
      </c>
      <c r="B557" s="1">
        <v>45081</v>
      </c>
      <c r="C557" t="s">
        <v>569</v>
      </c>
      <c r="D557" t="s">
        <v>13</v>
      </c>
      <c r="E557" s="2">
        <v>18</v>
      </c>
      <c r="F557" t="s">
        <v>16</v>
      </c>
      <c r="G557" s="2">
        <v>1</v>
      </c>
      <c r="H557" s="3">
        <v>50</v>
      </c>
      <c r="I557" s="3">
        <v>50</v>
      </c>
      <c r="J557" s="2" t="str">
        <f t="shared" si="8"/>
        <v>18–24</v>
      </c>
      <c r="K557" t="str" cm="1">
        <f t="array" ref="K557">_xlfn.IFS(
  OR(MONTH(B557)=12, MONTH(B557)=1, MONTH(B557)=2), "Winter",
  OR(MONTH(B557)=3, MONTH(B557)=4, MONTH(B557)=5), "Spring",
  OR(MONTH(B557)=6, MONTH(B557)=7, MONTH(B557)=8), "Summer",
  OR(MONTH(B557)=9, MONTH(B557)=10, MONTH(B557)=11), "Fall"
)</f>
        <v>Summer</v>
      </c>
    </row>
    <row r="558" spans="1:11">
      <c r="A558">
        <v>557</v>
      </c>
      <c r="B558" s="1">
        <v>45134</v>
      </c>
      <c r="C558" t="s">
        <v>570</v>
      </c>
      <c r="D558" t="s">
        <v>13</v>
      </c>
      <c r="E558" s="2">
        <v>20</v>
      </c>
      <c r="F558" t="s">
        <v>11</v>
      </c>
      <c r="G558" s="2">
        <v>3</v>
      </c>
      <c r="H558" s="3">
        <v>30</v>
      </c>
      <c r="I558" s="3">
        <v>90</v>
      </c>
      <c r="J558" s="2" t="str">
        <f t="shared" si="8"/>
        <v>18–24</v>
      </c>
      <c r="K558" t="str" cm="1">
        <f t="array" ref="K558">_xlfn.IFS(
  OR(MONTH(B558)=12, MONTH(B558)=1, MONTH(B558)=2), "Winter",
  OR(MONTH(B558)=3, MONTH(B558)=4, MONTH(B558)=5), "Spring",
  OR(MONTH(B558)=6, MONTH(B558)=7, MONTH(B558)=8), "Summer",
  OR(MONTH(B558)=9, MONTH(B558)=10, MONTH(B558)=11), "Fall"
)</f>
        <v>Summer</v>
      </c>
    </row>
    <row r="559" spans="1:11">
      <c r="A559">
        <v>558</v>
      </c>
      <c r="B559" s="1">
        <v>45207</v>
      </c>
      <c r="C559" t="s">
        <v>571</v>
      </c>
      <c r="D559" t="s">
        <v>13</v>
      </c>
      <c r="E559" s="2">
        <v>41</v>
      </c>
      <c r="F559" t="s">
        <v>14</v>
      </c>
      <c r="G559" s="2">
        <v>1</v>
      </c>
      <c r="H559" s="3">
        <v>25</v>
      </c>
      <c r="I559" s="3">
        <v>25</v>
      </c>
      <c r="J559" s="2" t="str">
        <f t="shared" si="8"/>
        <v>35–44</v>
      </c>
      <c r="K559" t="str" cm="1">
        <f t="array" ref="K559">_xlfn.IFS(
  OR(MONTH(B559)=12, MONTH(B559)=1, MONTH(B559)=2), "Winter",
  OR(MONTH(B559)=3, MONTH(B559)=4, MONTH(B559)=5), "Spring",
  OR(MONTH(B559)=6, MONTH(B559)=7, MONTH(B559)=8), "Summer",
  OR(MONTH(B559)=9, MONTH(B559)=10, MONTH(B559)=11), "Fall"
)</f>
        <v>Fall</v>
      </c>
    </row>
    <row r="560" spans="1:11">
      <c r="A560">
        <v>559</v>
      </c>
      <c r="B560" s="1">
        <v>44927</v>
      </c>
      <c r="C560" t="s">
        <v>572</v>
      </c>
      <c r="D560" t="s">
        <v>13</v>
      </c>
      <c r="E560" s="2">
        <v>40</v>
      </c>
      <c r="F560" t="s">
        <v>14</v>
      </c>
      <c r="G560" s="2">
        <v>4</v>
      </c>
      <c r="H560" s="3">
        <v>300</v>
      </c>
      <c r="I560" s="3">
        <v>1200</v>
      </c>
      <c r="J560" s="2" t="str">
        <f t="shared" si="8"/>
        <v>35–44</v>
      </c>
      <c r="K560" t="str" cm="1">
        <f t="array" ref="K560">_xlfn.IFS(
  OR(MONTH(B560)=12, MONTH(B560)=1, MONTH(B560)=2), "Winter",
  OR(MONTH(B560)=3, MONTH(B560)=4, MONTH(B560)=5), "Spring",
  OR(MONTH(B560)=6, MONTH(B560)=7, MONTH(B560)=8), "Summer",
  OR(MONTH(B560)=9, MONTH(B560)=10, MONTH(B560)=11), "Fall"
)</f>
        <v>Winter</v>
      </c>
    </row>
    <row r="561" spans="1:11">
      <c r="A561">
        <v>560</v>
      </c>
      <c r="B561" s="1">
        <v>45082</v>
      </c>
      <c r="C561" t="s">
        <v>573</v>
      </c>
      <c r="D561" t="s">
        <v>13</v>
      </c>
      <c r="E561" s="2">
        <v>25</v>
      </c>
      <c r="F561" t="s">
        <v>16</v>
      </c>
      <c r="G561" s="2">
        <v>1</v>
      </c>
      <c r="H561" s="3">
        <v>50</v>
      </c>
      <c r="I561" s="3">
        <v>50</v>
      </c>
      <c r="J561" s="2" t="str">
        <f t="shared" si="8"/>
        <v>25–34</v>
      </c>
      <c r="K561" t="str" cm="1">
        <f t="array" ref="K561">_xlfn.IFS(
  OR(MONTH(B561)=12, MONTH(B561)=1, MONTH(B561)=2), "Winter",
  OR(MONTH(B561)=3, MONTH(B561)=4, MONTH(B561)=5), "Spring",
  OR(MONTH(B561)=6, MONTH(B561)=7, MONTH(B561)=8), "Summer",
  OR(MONTH(B561)=9, MONTH(B561)=10, MONTH(B561)=11), "Fall"
)</f>
        <v>Summer</v>
      </c>
    </row>
    <row r="562" spans="1:11">
      <c r="A562">
        <v>561</v>
      </c>
      <c r="B562" s="1">
        <v>45073</v>
      </c>
      <c r="C562" t="s">
        <v>574</v>
      </c>
      <c r="D562" t="s">
        <v>13</v>
      </c>
      <c r="E562" s="2">
        <v>64</v>
      </c>
      <c r="F562" t="s">
        <v>14</v>
      </c>
      <c r="G562" s="2">
        <v>4</v>
      </c>
      <c r="H562" s="3">
        <v>500</v>
      </c>
      <c r="I562" s="3">
        <v>2000</v>
      </c>
      <c r="J562" s="2" t="str">
        <f t="shared" si="8"/>
        <v>55–64</v>
      </c>
      <c r="K562" t="str" cm="1">
        <f t="array" ref="K562">_xlfn.IFS(
  OR(MONTH(B562)=12, MONTH(B562)=1, MONTH(B562)=2), "Winter",
  OR(MONTH(B562)=3, MONTH(B562)=4, MONTH(B562)=5), "Spring",
  OR(MONTH(B562)=6, MONTH(B562)=7, MONTH(B562)=8), "Summer",
  OR(MONTH(B562)=9, MONTH(B562)=10, MONTH(B562)=11), "Fall"
)</f>
        <v>Spring</v>
      </c>
    </row>
    <row r="563" spans="1:11">
      <c r="A563">
        <v>562</v>
      </c>
      <c r="B563" s="1">
        <v>45034</v>
      </c>
      <c r="C563" t="s">
        <v>575</v>
      </c>
      <c r="D563" t="s">
        <v>10</v>
      </c>
      <c r="E563" s="2">
        <v>54</v>
      </c>
      <c r="F563" t="s">
        <v>16</v>
      </c>
      <c r="G563" s="2">
        <v>2</v>
      </c>
      <c r="H563" s="3">
        <v>25</v>
      </c>
      <c r="I563" s="3">
        <v>50</v>
      </c>
      <c r="J563" s="2" t="str">
        <f t="shared" si="8"/>
        <v>45–54</v>
      </c>
      <c r="K563" t="str" cm="1">
        <f t="array" ref="K563">_xlfn.IFS(
  OR(MONTH(B563)=12, MONTH(B563)=1, MONTH(B563)=2), "Winter",
  OR(MONTH(B563)=3, MONTH(B563)=4, MONTH(B563)=5), "Spring",
  OR(MONTH(B563)=6, MONTH(B563)=7, MONTH(B563)=8), "Summer",
  OR(MONTH(B563)=9, MONTH(B563)=10, MONTH(B563)=11), "Fall"
)</f>
        <v>Spring</v>
      </c>
    </row>
    <row r="564" spans="1:11">
      <c r="A564">
        <v>563</v>
      </c>
      <c r="B564" s="1">
        <v>45147</v>
      </c>
      <c r="C564" t="s">
        <v>576</v>
      </c>
      <c r="D564" t="s">
        <v>10</v>
      </c>
      <c r="E564" s="2">
        <v>20</v>
      </c>
      <c r="F564" t="s">
        <v>14</v>
      </c>
      <c r="G564" s="2">
        <v>2</v>
      </c>
      <c r="H564" s="3">
        <v>30</v>
      </c>
      <c r="I564" s="3">
        <v>60</v>
      </c>
      <c r="J564" s="2" t="str">
        <f t="shared" si="8"/>
        <v>18–24</v>
      </c>
      <c r="K564" t="str" cm="1">
        <f t="array" ref="K564">_xlfn.IFS(
  OR(MONTH(B564)=12, MONTH(B564)=1, MONTH(B564)=2), "Winter",
  OR(MONTH(B564)=3, MONTH(B564)=4, MONTH(B564)=5), "Spring",
  OR(MONTH(B564)=6, MONTH(B564)=7, MONTH(B564)=8), "Summer",
  OR(MONTH(B564)=9, MONTH(B564)=10, MONTH(B564)=11), "Fall"
)</f>
        <v>Summer</v>
      </c>
    </row>
    <row r="565" spans="1:11">
      <c r="A565">
        <v>564</v>
      </c>
      <c r="B565" s="1">
        <v>45223</v>
      </c>
      <c r="C565" t="s">
        <v>577</v>
      </c>
      <c r="D565" t="s">
        <v>10</v>
      </c>
      <c r="E565" s="2">
        <v>50</v>
      </c>
      <c r="F565" t="s">
        <v>16</v>
      </c>
      <c r="G565" s="2">
        <v>2</v>
      </c>
      <c r="H565" s="3">
        <v>50</v>
      </c>
      <c r="I565" s="3">
        <v>100</v>
      </c>
      <c r="J565" s="2" t="str">
        <f t="shared" si="8"/>
        <v>45–54</v>
      </c>
      <c r="K565" t="str" cm="1">
        <f t="array" ref="K565">_xlfn.IFS(
  OR(MONTH(B565)=12, MONTH(B565)=1, MONTH(B565)=2), "Winter",
  OR(MONTH(B565)=3, MONTH(B565)=4, MONTH(B565)=5), "Spring",
  OR(MONTH(B565)=6, MONTH(B565)=7, MONTH(B565)=8), "Summer",
  OR(MONTH(B565)=9, MONTH(B565)=10, MONTH(B565)=11), "Fall"
)</f>
        <v>Fall</v>
      </c>
    </row>
    <row r="566" spans="1:11">
      <c r="A566">
        <v>565</v>
      </c>
      <c r="B566" s="1">
        <v>45237</v>
      </c>
      <c r="C566" t="s">
        <v>578</v>
      </c>
      <c r="D566" t="s">
        <v>13</v>
      </c>
      <c r="E566" s="2">
        <v>45</v>
      </c>
      <c r="F566" t="s">
        <v>11</v>
      </c>
      <c r="G566" s="2">
        <v>2</v>
      </c>
      <c r="H566" s="3">
        <v>30</v>
      </c>
      <c r="I566" s="3">
        <v>60</v>
      </c>
      <c r="J566" s="2" t="str">
        <f t="shared" si="8"/>
        <v>45–54</v>
      </c>
      <c r="K566" t="str" cm="1">
        <f t="array" ref="K566">_xlfn.IFS(
  OR(MONTH(B566)=12, MONTH(B566)=1, MONTH(B566)=2), "Winter",
  OR(MONTH(B566)=3, MONTH(B566)=4, MONTH(B566)=5), "Spring",
  OR(MONTH(B566)=6, MONTH(B566)=7, MONTH(B566)=8), "Summer",
  OR(MONTH(B566)=9, MONTH(B566)=10, MONTH(B566)=11), "Fall"
)</f>
        <v>Fall</v>
      </c>
    </row>
    <row r="567" spans="1:11">
      <c r="A567">
        <v>566</v>
      </c>
      <c r="B567" s="1">
        <v>45262</v>
      </c>
      <c r="C567" t="s">
        <v>579</v>
      </c>
      <c r="D567" t="s">
        <v>13</v>
      </c>
      <c r="E567" s="2">
        <v>64</v>
      </c>
      <c r="F567" t="s">
        <v>14</v>
      </c>
      <c r="G567" s="2">
        <v>1</v>
      </c>
      <c r="H567" s="3">
        <v>30</v>
      </c>
      <c r="I567" s="3">
        <v>30</v>
      </c>
      <c r="J567" s="2" t="str">
        <f t="shared" si="8"/>
        <v>55–64</v>
      </c>
      <c r="K567" t="str" cm="1">
        <f t="array" ref="K567">_xlfn.IFS(
  OR(MONTH(B567)=12, MONTH(B567)=1, MONTH(B567)=2), "Winter",
  OR(MONTH(B567)=3, MONTH(B567)=4, MONTH(B567)=5), "Spring",
  OR(MONTH(B567)=6, MONTH(B567)=7, MONTH(B567)=8), "Summer",
  OR(MONTH(B567)=9, MONTH(B567)=10, MONTH(B567)=11), "Fall"
)</f>
        <v>Winter</v>
      </c>
    </row>
    <row r="568" spans="1:11">
      <c r="A568">
        <v>567</v>
      </c>
      <c r="B568" s="1">
        <v>45091</v>
      </c>
      <c r="C568" t="s">
        <v>580</v>
      </c>
      <c r="D568" t="s">
        <v>13</v>
      </c>
      <c r="E568" s="2">
        <v>25</v>
      </c>
      <c r="F568" t="s">
        <v>14</v>
      </c>
      <c r="G568" s="2">
        <v>3</v>
      </c>
      <c r="H568" s="3">
        <v>300</v>
      </c>
      <c r="I568" s="3">
        <v>900</v>
      </c>
      <c r="J568" s="2" t="str">
        <f t="shared" si="8"/>
        <v>25–34</v>
      </c>
      <c r="K568" t="str" cm="1">
        <f t="array" ref="K568">_xlfn.IFS(
  OR(MONTH(B568)=12, MONTH(B568)=1, MONTH(B568)=2), "Winter",
  OR(MONTH(B568)=3, MONTH(B568)=4, MONTH(B568)=5), "Spring",
  OR(MONTH(B568)=6, MONTH(B568)=7, MONTH(B568)=8), "Summer",
  OR(MONTH(B568)=9, MONTH(B568)=10, MONTH(B568)=11), "Fall"
)</f>
        <v>Summer</v>
      </c>
    </row>
    <row r="569" spans="1:11">
      <c r="A569">
        <v>568</v>
      </c>
      <c r="B569" s="1">
        <v>45165</v>
      </c>
      <c r="C569" t="s">
        <v>581</v>
      </c>
      <c r="D569" t="s">
        <v>13</v>
      </c>
      <c r="E569" s="2">
        <v>51</v>
      </c>
      <c r="F569" t="s">
        <v>16</v>
      </c>
      <c r="G569" s="2">
        <v>1</v>
      </c>
      <c r="H569" s="3">
        <v>300</v>
      </c>
      <c r="I569" s="3">
        <v>300</v>
      </c>
      <c r="J569" s="2" t="str">
        <f t="shared" si="8"/>
        <v>45–54</v>
      </c>
      <c r="K569" t="str" cm="1">
        <f t="array" ref="K569">_xlfn.IFS(
  OR(MONTH(B569)=12, MONTH(B569)=1, MONTH(B569)=2), "Winter",
  OR(MONTH(B569)=3, MONTH(B569)=4, MONTH(B569)=5), "Spring",
  OR(MONTH(B569)=6, MONTH(B569)=7, MONTH(B569)=8), "Summer",
  OR(MONTH(B569)=9, MONTH(B569)=10, MONTH(B569)=11), "Fall"
)</f>
        <v>Summer</v>
      </c>
    </row>
    <row r="570" spans="1:11">
      <c r="A570">
        <v>569</v>
      </c>
      <c r="B570" s="1">
        <v>45153</v>
      </c>
      <c r="C570" t="s">
        <v>582</v>
      </c>
      <c r="D570" t="s">
        <v>10</v>
      </c>
      <c r="E570" s="2">
        <v>52</v>
      </c>
      <c r="F570" t="s">
        <v>16</v>
      </c>
      <c r="G570" s="2">
        <v>4</v>
      </c>
      <c r="H570" s="3">
        <v>50</v>
      </c>
      <c r="I570" s="3">
        <v>200</v>
      </c>
      <c r="J570" s="2" t="str">
        <f t="shared" si="8"/>
        <v>45–54</v>
      </c>
      <c r="K570" t="str" cm="1">
        <f t="array" ref="K570">_xlfn.IFS(
  OR(MONTH(B570)=12, MONTH(B570)=1, MONTH(B570)=2), "Winter",
  OR(MONTH(B570)=3, MONTH(B570)=4, MONTH(B570)=5), "Spring",
  OR(MONTH(B570)=6, MONTH(B570)=7, MONTH(B570)=8), "Summer",
  OR(MONTH(B570)=9, MONTH(B570)=10, MONTH(B570)=11), "Fall"
)</f>
        <v>Summer</v>
      </c>
    </row>
    <row r="571" spans="1:11">
      <c r="A571">
        <v>570</v>
      </c>
      <c r="B571" s="1">
        <v>45153</v>
      </c>
      <c r="C571" t="s">
        <v>583</v>
      </c>
      <c r="D571" t="s">
        <v>10</v>
      </c>
      <c r="E571" s="2">
        <v>49</v>
      </c>
      <c r="F571" t="s">
        <v>14</v>
      </c>
      <c r="G571" s="2">
        <v>1</v>
      </c>
      <c r="H571" s="3">
        <v>500</v>
      </c>
      <c r="I571" s="3">
        <v>500</v>
      </c>
      <c r="J571" s="2" t="str">
        <f t="shared" si="8"/>
        <v>45–54</v>
      </c>
      <c r="K571" t="str" cm="1">
        <f t="array" ref="K571">_xlfn.IFS(
  OR(MONTH(B571)=12, MONTH(B571)=1, MONTH(B571)=2), "Winter",
  OR(MONTH(B571)=3, MONTH(B571)=4, MONTH(B571)=5), "Spring",
  OR(MONTH(B571)=6, MONTH(B571)=7, MONTH(B571)=8), "Summer",
  OR(MONTH(B571)=9, MONTH(B571)=10, MONTH(B571)=11), "Fall"
)</f>
        <v>Summer</v>
      </c>
    </row>
    <row r="572" spans="1:11">
      <c r="A572">
        <v>571</v>
      </c>
      <c r="B572" s="1">
        <v>45272</v>
      </c>
      <c r="C572" t="s">
        <v>584</v>
      </c>
      <c r="D572" t="s">
        <v>13</v>
      </c>
      <c r="E572" s="2">
        <v>41</v>
      </c>
      <c r="F572" t="s">
        <v>16</v>
      </c>
      <c r="G572" s="2">
        <v>1</v>
      </c>
      <c r="H572" s="3">
        <v>50</v>
      </c>
      <c r="I572" s="3">
        <v>50</v>
      </c>
      <c r="J572" s="2" t="str">
        <f t="shared" si="8"/>
        <v>35–44</v>
      </c>
      <c r="K572" t="str" cm="1">
        <f t="array" ref="K572">_xlfn.IFS(
  OR(MONTH(B572)=12, MONTH(B572)=1, MONTH(B572)=2), "Winter",
  OR(MONTH(B572)=3, MONTH(B572)=4, MONTH(B572)=5), "Spring",
  OR(MONTH(B572)=6, MONTH(B572)=7, MONTH(B572)=8), "Summer",
  OR(MONTH(B572)=9, MONTH(B572)=10, MONTH(B572)=11), "Fall"
)</f>
        <v>Winter</v>
      </c>
    </row>
    <row r="573" spans="1:11">
      <c r="A573">
        <v>572</v>
      </c>
      <c r="B573" s="1">
        <v>45036</v>
      </c>
      <c r="C573" t="s">
        <v>585</v>
      </c>
      <c r="D573" t="s">
        <v>10</v>
      </c>
      <c r="E573" s="2">
        <v>31</v>
      </c>
      <c r="F573" t="s">
        <v>14</v>
      </c>
      <c r="G573" s="2">
        <v>4</v>
      </c>
      <c r="H573" s="3">
        <v>500</v>
      </c>
      <c r="I573" s="3">
        <v>2000</v>
      </c>
      <c r="J573" s="2" t="str">
        <f t="shared" si="8"/>
        <v>25–34</v>
      </c>
      <c r="K573" t="str" cm="1">
        <f t="array" ref="K573">_xlfn.IFS(
  OR(MONTH(B573)=12, MONTH(B573)=1, MONTH(B573)=2), "Winter",
  OR(MONTH(B573)=3, MONTH(B573)=4, MONTH(B573)=5), "Spring",
  OR(MONTH(B573)=6, MONTH(B573)=7, MONTH(B573)=8), "Summer",
  OR(MONTH(B573)=9, MONTH(B573)=10, MONTH(B573)=11), "Fall"
)</f>
        <v>Spring</v>
      </c>
    </row>
    <row r="574" spans="1:11">
      <c r="A574">
        <v>573</v>
      </c>
      <c r="B574" s="1">
        <v>45188</v>
      </c>
      <c r="C574" t="s">
        <v>586</v>
      </c>
      <c r="D574" t="s">
        <v>10</v>
      </c>
      <c r="E574" s="2">
        <v>49</v>
      </c>
      <c r="F574" t="s">
        <v>11</v>
      </c>
      <c r="G574" s="2">
        <v>2</v>
      </c>
      <c r="H574" s="3">
        <v>30</v>
      </c>
      <c r="I574" s="3">
        <v>60</v>
      </c>
      <c r="J574" s="2" t="str">
        <f t="shared" si="8"/>
        <v>45–54</v>
      </c>
      <c r="K574" t="str" cm="1">
        <f t="array" ref="K574">_xlfn.IFS(
  OR(MONTH(B574)=12, MONTH(B574)=1, MONTH(B574)=2), "Winter",
  OR(MONTH(B574)=3, MONTH(B574)=4, MONTH(B574)=5), "Spring",
  OR(MONTH(B574)=6, MONTH(B574)=7, MONTH(B574)=8), "Summer",
  OR(MONTH(B574)=9, MONTH(B574)=10, MONTH(B574)=11), "Fall"
)</f>
        <v>Fall</v>
      </c>
    </row>
    <row r="575" spans="1:11">
      <c r="A575">
        <v>574</v>
      </c>
      <c r="B575" s="1">
        <v>45169</v>
      </c>
      <c r="C575" t="s">
        <v>587</v>
      </c>
      <c r="D575" t="s">
        <v>13</v>
      </c>
      <c r="E575" s="2">
        <v>63</v>
      </c>
      <c r="F575" t="s">
        <v>16</v>
      </c>
      <c r="G575" s="2">
        <v>2</v>
      </c>
      <c r="H575" s="3">
        <v>25</v>
      </c>
      <c r="I575" s="3">
        <v>50</v>
      </c>
      <c r="J575" s="2" t="str">
        <f t="shared" si="8"/>
        <v>55–64</v>
      </c>
      <c r="K575" t="str" cm="1">
        <f t="array" ref="K575">_xlfn.IFS(
  OR(MONTH(B575)=12, MONTH(B575)=1, MONTH(B575)=2), "Winter",
  OR(MONTH(B575)=3, MONTH(B575)=4, MONTH(B575)=5), "Spring",
  OR(MONTH(B575)=6, MONTH(B575)=7, MONTH(B575)=8), "Summer",
  OR(MONTH(B575)=9, MONTH(B575)=10, MONTH(B575)=11), "Fall"
)</f>
        <v>Summer</v>
      </c>
    </row>
    <row r="576" spans="1:11">
      <c r="A576">
        <v>575</v>
      </c>
      <c r="B576" s="1">
        <v>45013</v>
      </c>
      <c r="C576" t="s">
        <v>588</v>
      </c>
      <c r="D576" t="s">
        <v>10</v>
      </c>
      <c r="E576" s="2">
        <v>60</v>
      </c>
      <c r="F576" t="s">
        <v>14</v>
      </c>
      <c r="G576" s="2">
        <v>2</v>
      </c>
      <c r="H576" s="3">
        <v>50</v>
      </c>
      <c r="I576" s="3">
        <v>100</v>
      </c>
      <c r="J576" s="2" t="str">
        <f t="shared" si="8"/>
        <v>55–64</v>
      </c>
      <c r="K576" t="str" cm="1">
        <f t="array" ref="K576">_xlfn.IFS(
  OR(MONTH(B576)=12, MONTH(B576)=1, MONTH(B576)=2), "Winter",
  OR(MONTH(B576)=3, MONTH(B576)=4, MONTH(B576)=5), "Spring",
  OR(MONTH(B576)=6, MONTH(B576)=7, MONTH(B576)=8), "Summer",
  OR(MONTH(B576)=9, MONTH(B576)=10, MONTH(B576)=11), "Fall"
)</f>
        <v>Spring</v>
      </c>
    </row>
    <row r="577" spans="1:11">
      <c r="A577">
        <v>576</v>
      </c>
      <c r="B577" s="1">
        <v>45264</v>
      </c>
      <c r="C577" t="s">
        <v>589</v>
      </c>
      <c r="D577" t="s">
        <v>13</v>
      </c>
      <c r="E577" s="2">
        <v>33</v>
      </c>
      <c r="F577" t="s">
        <v>11</v>
      </c>
      <c r="G577" s="2">
        <v>3</v>
      </c>
      <c r="H577" s="3">
        <v>50</v>
      </c>
      <c r="I577" s="3">
        <v>150</v>
      </c>
      <c r="J577" s="2" t="str">
        <f t="shared" si="8"/>
        <v>25–34</v>
      </c>
      <c r="K577" t="str" cm="1">
        <f t="array" ref="K577">_xlfn.IFS(
  OR(MONTH(B577)=12, MONTH(B577)=1, MONTH(B577)=2), "Winter",
  OR(MONTH(B577)=3, MONTH(B577)=4, MONTH(B577)=5), "Spring",
  OR(MONTH(B577)=6, MONTH(B577)=7, MONTH(B577)=8), "Summer",
  OR(MONTH(B577)=9, MONTH(B577)=10, MONTH(B577)=11), "Fall"
)</f>
        <v>Winter</v>
      </c>
    </row>
    <row r="578" spans="1:11">
      <c r="A578">
        <v>577</v>
      </c>
      <c r="B578" s="1">
        <v>44970</v>
      </c>
      <c r="C578" t="s">
        <v>590</v>
      </c>
      <c r="D578" t="s">
        <v>10</v>
      </c>
      <c r="E578" s="2">
        <v>21</v>
      </c>
      <c r="F578" t="s">
        <v>11</v>
      </c>
      <c r="G578" s="2">
        <v>4</v>
      </c>
      <c r="H578" s="3">
        <v>500</v>
      </c>
      <c r="I578" s="3">
        <v>2000</v>
      </c>
      <c r="J578" s="2" t="str">
        <f t="shared" ref="J578:J641" si="9">IF(AND(E578&gt;=18, E578&lt;=24), "18–24",
 IF(AND(E578&gt;=25, E578&lt;=34), "25–34",
 IF(AND(E578&gt;=35, E578&lt;=44), "35–44",
 IF(AND(E578&gt;=45, E578&lt;=54), "45–54",
 IF(AND(E578&gt;=55, E578&lt;=64), "55–64", "Other")))))</f>
        <v>18–24</v>
      </c>
      <c r="K578" t="str" cm="1">
        <f t="array" ref="K578">_xlfn.IFS(
  OR(MONTH(B578)=12, MONTH(B578)=1, MONTH(B578)=2), "Winter",
  OR(MONTH(B578)=3, MONTH(B578)=4, MONTH(B578)=5), "Spring",
  OR(MONTH(B578)=6, MONTH(B578)=7, MONTH(B578)=8), "Summer",
  OR(MONTH(B578)=9, MONTH(B578)=10, MONTH(B578)=11), "Fall"
)</f>
        <v>Winter</v>
      </c>
    </row>
    <row r="579" spans="1:11">
      <c r="A579">
        <v>578</v>
      </c>
      <c r="B579" s="1">
        <v>45072</v>
      </c>
      <c r="C579" t="s">
        <v>591</v>
      </c>
      <c r="D579" t="s">
        <v>13</v>
      </c>
      <c r="E579" s="2">
        <v>54</v>
      </c>
      <c r="F579" t="s">
        <v>14</v>
      </c>
      <c r="G579" s="2">
        <v>4</v>
      </c>
      <c r="H579" s="3">
        <v>30</v>
      </c>
      <c r="I579" s="3">
        <v>120</v>
      </c>
      <c r="J579" s="2" t="str">
        <f t="shared" si="9"/>
        <v>45–54</v>
      </c>
      <c r="K579" t="str" cm="1">
        <f t="array" ref="K579">_xlfn.IFS(
  OR(MONTH(B579)=12, MONTH(B579)=1, MONTH(B579)=2), "Winter",
  OR(MONTH(B579)=3, MONTH(B579)=4, MONTH(B579)=5), "Spring",
  OR(MONTH(B579)=6, MONTH(B579)=7, MONTH(B579)=8), "Summer",
  OR(MONTH(B579)=9, MONTH(B579)=10, MONTH(B579)=11), "Fall"
)</f>
        <v>Spring</v>
      </c>
    </row>
    <row r="580" spans="1:11">
      <c r="A580">
        <v>579</v>
      </c>
      <c r="B580" s="1">
        <v>45190</v>
      </c>
      <c r="C580" t="s">
        <v>592</v>
      </c>
      <c r="D580" t="s">
        <v>13</v>
      </c>
      <c r="E580" s="2">
        <v>38</v>
      </c>
      <c r="F580" t="s">
        <v>16</v>
      </c>
      <c r="G580" s="2">
        <v>1</v>
      </c>
      <c r="H580" s="3">
        <v>30</v>
      </c>
      <c r="I580" s="3">
        <v>30</v>
      </c>
      <c r="J580" s="2" t="str">
        <f t="shared" si="9"/>
        <v>35–44</v>
      </c>
      <c r="K580" t="str" cm="1">
        <f t="array" ref="K580">_xlfn.IFS(
  OR(MONTH(B580)=12, MONTH(B580)=1, MONTH(B580)=2), "Winter",
  OR(MONTH(B580)=3, MONTH(B580)=4, MONTH(B580)=5), "Spring",
  OR(MONTH(B580)=6, MONTH(B580)=7, MONTH(B580)=8), "Summer",
  OR(MONTH(B580)=9, MONTH(B580)=10, MONTH(B580)=11), "Fall"
)</f>
        <v>Fall</v>
      </c>
    </row>
    <row r="581" spans="1:11">
      <c r="A581">
        <v>580</v>
      </c>
      <c r="B581" s="1">
        <v>45266</v>
      </c>
      <c r="C581" t="s">
        <v>593</v>
      </c>
      <c r="D581" t="s">
        <v>13</v>
      </c>
      <c r="E581" s="2">
        <v>31</v>
      </c>
      <c r="F581" t="s">
        <v>14</v>
      </c>
      <c r="G581" s="2">
        <v>3</v>
      </c>
      <c r="H581" s="3">
        <v>500</v>
      </c>
      <c r="I581" s="3">
        <v>1500</v>
      </c>
      <c r="J581" s="2" t="str">
        <f t="shared" si="9"/>
        <v>25–34</v>
      </c>
      <c r="K581" t="str" cm="1">
        <f t="array" ref="K581">_xlfn.IFS(
  OR(MONTH(B581)=12, MONTH(B581)=1, MONTH(B581)=2), "Winter",
  OR(MONTH(B581)=3, MONTH(B581)=4, MONTH(B581)=5), "Spring",
  OR(MONTH(B581)=6, MONTH(B581)=7, MONTH(B581)=8), "Summer",
  OR(MONTH(B581)=9, MONTH(B581)=10, MONTH(B581)=11), "Fall"
)</f>
        <v>Winter</v>
      </c>
    </row>
    <row r="582" spans="1:11">
      <c r="A582">
        <v>581</v>
      </c>
      <c r="B582" s="1">
        <v>45251</v>
      </c>
      <c r="C582" t="s">
        <v>594</v>
      </c>
      <c r="D582" t="s">
        <v>13</v>
      </c>
      <c r="E582" s="2">
        <v>48</v>
      </c>
      <c r="F582" t="s">
        <v>11</v>
      </c>
      <c r="G582" s="2">
        <v>2</v>
      </c>
      <c r="H582" s="3">
        <v>30</v>
      </c>
      <c r="I582" s="3">
        <v>60</v>
      </c>
      <c r="J582" s="2" t="str">
        <f t="shared" si="9"/>
        <v>45–54</v>
      </c>
      <c r="K582" t="str" cm="1">
        <f t="array" ref="K582">_xlfn.IFS(
  OR(MONTH(B582)=12, MONTH(B582)=1, MONTH(B582)=2), "Winter",
  OR(MONTH(B582)=3, MONTH(B582)=4, MONTH(B582)=5), "Spring",
  OR(MONTH(B582)=6, MONTH(B582)=7, MONTH(B582)=8), "Summer",
  OR(MONTH(B582)=9, MONTH(B582)=10, MONTH(B582)=11), "Fall"
)</f>
        <v>Fall</v>
      </c>
    </row>
    <row r="583" spans="1:11">
      <c r="A583">
        <v>582</v>
      </c>
      <c r="B583" s="1">
        <v>45244</v>
      </c>
      <c r="C583" t="s">
        <v>595</v>
      </c>
      <c r="D583" t="s">
        <v>10</v>
      </c>
      <c r="E583" s="2">
        <v>35</v>
      </c>
      <c r="F583" t="s">
        <v>14</v>
      </c>
      <c r="G583" s="2">
        <v>3</v>
      </c>
      <c r="H583" s="3">
        <v>300</v>
      </c>
      <c r="I583" s="3">
        <v>900</v>
      </c>
      <c r="J583" s="2" t="str">
        <f t="shared" si="9"/>
        <v>35–44</v>
      </c>
      <c r="K583" t="str" cm="1">
        <f t="array" ref="K583">_xlfn.IFS(
  OR(MONTH(B583)=12, MONTH(B583)=1, MONTH(B583)=2), "Winter",
  OR(MONTH(B583)=3, MONTH(B583)=4, MONTH(B583)=5), "Spring",
  OR(MONTH(B583)=6, MONTH(B583)=7, MONTH(B583)=8), "Summer",
  OR(MONTH(B583)=9, MONTH(B583)=10, MONTH(B583)=11), "Fall"
)</f>
        <v>Fall</v>
      </c>
    </row>
    <row r="584" spans="1:11">
      <c r="A584">
        <v>583</v>
      </c>
      <c r="B584" s="1">
        <v>45098</v>
      </c>
      <c r="C584" t="s">
        <v>596</v>
      </c>
      <c r="D584" t="s">
        <v>13</v>
      </c>
      <c r="E584" s="2">
        <v>24</v>
      </c>
      <c r="F584" t="s">
        <v>16</v>
      </c>
      <c r="G584" s="2">
        <v>4</v>
      </c>
      <c r="H584" s="3">
        <v>25</v>
      </c>
      <c r="I584" s="3">
        <v>100</v>
      </c>
      <c r="J584" s="2" t="str">
        <f t="shared" si="9"/>
        <v>18–24</v>
      </c>
      <c r="K584" t="str" cm="1">
        <f t="array" ref="K584">_xlfn.IFS(
  OR(MONTH(B584)=12, MONTH(B584)=1, MONTH(B584)=2), "Winter",
  OR(MONTH(B584)=3, MONTH(B584)=4, MONTH(B584)=5), "Spring",
  OR(MONTH(B584)=6, MONTH(B584)=7, MONTH(B584)=8), "Summer",
  OR(MONTH(B584)=9, MONTH(B584)=10, MONTH(B584)=11), "Fall"
)</f>
        <v>Summer</v>
      </c>
    </row>
    <row r="585" spans="1:11">
      <c r="A585">
        <v>584</v>
      </c>
      <c r="B585" s="1">
        <v>44974</v>
      </c>
      <c r="C585" t="s">
        <v>597</v>
      </c>
      <c r="D585" t="s">
        <v>13</v>
      </c>
      <c r="E585" s="2">
        <v>27</v>
      </c>
      <c r="F585" t="s">
        <v>11</v>
      </c>
      <c r="G585" s="2">
        <v>4</v>
      </c>
      <c r="H585" s="3">
        <v>50</v>
      </c>
      <c r="I585" s="3">
        <v>200</v>
      </c>
      <c r="J585" s="2" t="str">
        <f t="shared" si="9"/>
        <v>25–34</v>
      </c>
      <c r="K585" t="str" cm="1">
        <f t="array" ref="K585">_xlfn.IFS(
  OR(MONTH(B585)=12, MONTH(B585)=1, MONTH(B585)=2), "Winter",
  OR(MONTH(B585)=3, MONTH(B585)=4, MONTH(B585)=5), "Spring",
  OR(MONTH(B585)=6, MONTH(B585)=7, MONTH(B585)=8), "Summer",
  OR(MONTH(B585)=9, MONTH(B585)=10, MONTH(B585)=11), "Fall"
)</f>
        <v>Winter</v>
      </c>
    </row>
    <row r="586" spans="1:11">
      <c r="A586">
        <v>585</v>
      </c>
      <c r="B586" s="1">
        <v>45047</v>
      </c>
      <c r="C586" t="s">
        <v>598</v>
      </c>
      <c r="D586" t="s">
        <v>13</v>
      </c>
      <c r="E586" s="2">
        <v>24</v>
      </c>
      <c r="F586" t="s">
        <v>14</v>
      </c>
      <c r="G586" s="2">
        <v>1</v>
      </c>
      <c r="H586" s="3">
        <v>25</v>
      </c>
      <c r="I586" s="3">
        <v>25</v>
      </c>
      <c r="J586" s="2" t="str">
        <f t="shared" si="9"/>
        <v>18–24</v>
      </c>
      <c r="K586" t="str" cm="1">
        <f t="array" ref="K586">_xlfn.IFS(
  OR(MONTH(B586)=12, MONTH(B586)=1, MONTH(B586)=2), "Winter",
  OR(MONTH(B586)=3, MONTH(B586)=4, MONTH(B586)=5), "Spring",
  OR(MONTH(B586)=6, MONTH(B586)=7, MONTH(B586)=8), "Summer",
  OR(MONTH(B586)=9, MONTH(B586)=10, MONTH(B586)=11), "Fall"
)</f>
        <v>Spring</v>
      </c>
    </row>
    <row r="587" spans="1:11">
      <c r="A587">
        <v>586</v>
      </c>
      <c r="B587" s="1">
        <v>45271</v>
      </c>
      <c r="C587" t="s">
        <v>599</v>
      </c>
      <c r="D587" t="s">
        <v>10</v>
      </c>
      <c r="E587" s="2">
        <v>50</v>
      </c>
      <c r="F587" t="s">
        <v>16</v>
      </c>
      <c r="G587" s="2">
        <v>1</v>
      </c>
      <c r="H587" s="3">
        <v>50</v>
      </c>
      <c r="I587" s="3">
        <v>50</v>
      </c>
      <c r="J587" s="2" t="str">
        <f t="shared" si="9"/>
        <v>45–54</v>
      </c>
      <c r="K587" t="str" cm="1">
        <f t="array" ref="K587">_xlfn.IFS(
  OR(MONTH(B587)=12, MONTH(B587)=1, MONTH(B587)=2), "Winter",
  OR(MONTH(B587)=3, MONTH(B587)=4, MONTH(B587)=5), "Spring",
  OR(MONTH(B587)=6, MONTH(B587)=7, MONTH(B587)=8), "Summer",
  OR(MONTH(B587)=9, MONTH(B587)=10, MONTH(B587)=11), "Fall"
)</f>
        <v>Winter</v>
      </c>
    </row>
    <row r="588" spans="1:11">
      <c r="A588">
        <v>587</v>
      </c>
      <c r="B588" s="1">
        <v>45085</v>
      </c>
      <c r="C588" t="s">
        <v>600</v>
      </c>
      <c r="D588" t="s">
        <v>13</v>
      </c>
      <c r="E588" s="2">
        <v>40</v>
      </c>
      <c r="F588" t="s">
        <v>11</v>
      </c>
      <c r="G588" s="2">
        <v>4</v>
      </c>
      <c r="H588" s="3">
        <v>300</v>
      </c>
      <c r="I588" s="3">
        <v>1200</v>
      </c>
      <c r="J588" s="2" t="str">
        <f t="shared" si="9"/>
        <v>35–44</v>
      </c>
      <c r="K588" t="str" cm="1">
        <f t="array" ref="K588">_xlfn.IFS(
  OR(MONTH(B588)=12, MONTH(B588)=1, MONTH(B588)=2), "Winter",
  OR(MONTH(B588)=3, MONTH(B588)=4, MONTH(B588)=5), "Spring",
  OR(MONTH(B588)=6, MONTH(B588)=7, MONTH(B588)=8), "Summer",
  OR(MONTH(B588)=9, MONTH(B588)=10, MONTH(B588)=11), "Fall"
)</f>
        <v>Summer</v>
      </c>
    </row>
    <row r="589" spans="1:11">
      <c r="A589">
        <v>588</v>
      </c>
      <c r="B589" s="1">
        <v>45042</v>
      </c>
      <c r="C589" t="s">
        <v>601</v>
      </c>
      <c r="D589" t="s">
        <v>10</v>
      </c>
      <c r="E589" s="2">
        <v>38</v>
      </c>
      <c r="F589" t="s">
        <v>16</v>
      </c>
      <c r="G589" s="2">
        <v>2</v>
      </c>
      <c r="H589" s="3">
        <v>30</v>
      </c>
      <c r="I589" s="3">
        <v>60</v>
      </c>
      <c r="J589" s="2" t="str">
        <f t="shared" si="9"/>
        <v>35–44</v>
      </c>
      <c r="K589" t="str" cm="1">
        <f t="array" ref="K589">_xlfn.IFS(
  OR(MONTH(B589)=12, MONTH(B589)=1, MONTH(B589)=2), "Winter",
  OR(MONTH(B589)=3, MONTH(B589)=4, MONTH(B589)=5), "Spring",
  OR(MONTH(B589)=6, MONTH(B589)=7, MONTH(B589)=8), "Summer",
  OR(MONTH(B589)=9, MONTH(B589)=10, MONTH(B589)=11), "Fall"
)</f>
        <v>Spring</v>
      </c>
    </row>
    <row r="590" spans="1:11">
      <c r="A590">
        <v>589</v>
      </c>
      <c r="B590" s="1">
        <v>45028</v>
      </c>
      <c r="C590" t="s">
        <v>602</v>
      </c>
      <c r="D590" t="s">
        <v>13</v>
      </c>
      <c r="E590" s="2">
        <v>36</v>
      </c>
      <c r="F590" t="s">
        <v>11</v>
      </c>
      <c r="G590" s="2">
        <v>2</v>
      </c>
      <c r="H590" s="3">
        <v>500</v>
      </c>
      <c r="I590" s="3">
        <v>1000</v>
      </c>
      <c r="J590" s="2" t="str">
        <f t="shared" si="9"/>
        <v>35–44</v>
      </c>
      <c r="K590" t="str" cm="1">
        <f t="array" ref="K590">_xlfn.IFS(
  OR(MONTH(B590)=12, MONTH(B590)=1, MONTH(B590)=2), "Winter",
  OR(MONTH(B590)=3, MONTH(B590)=4, MONTH(B590)=5), "Spring",
  OR(MONTH(B590)=6, MONTH(B590)=7, MONTH(B590)=8), "Summer",
  OR(MONTH(B590)=9, MONTH(B590)=10, MONTH(B590)=11), "Fall"
)</f>
        <v>Spring</v>
      </c>
    </row>
    <row r="591" spans="1:11">
      <c r="A591">
        <v>590</v>
      </c>
      <c r="B591" s="1">
        <v>45002</v>
      </c>
      <c r="C591" t="s">
        <v>603</v>
      </c>
      <c r="D591" t="s">
        <v>10</v>
      </c>
      <c r="E591" s="2">
        <v>36</v>
      </c>
      <c r="F591" t="s">
        <v>14</v>
      </c>
      <c r="G591" s="2">
        <v>3</v>
      </c>
      <c r="H591" s="3">
        <v>300</v>
      </c>
      <c r="I591" s="3">
        <v>900</v>
      </c>
      <c r="J591" s="2" t="str">
        <f t="shared" si="9"/>
        <v>35–44</v>
      </c>
      <c r="K591" t="str" cm="1">
        <f t="array" ref="K591">_xlfn.IFS(
  OR(MONTH(B591)=12, MONTH(B591)=1, MONTH(B591)=2), "Winter",
  OR(MONTH(B591)=3, MONTH(B591)=4, MONTH(B591)=5), "Spring",
  OR(MONTH(B591)=6, MONTH(B591)=7, MONTH(B591)=8), "Summer",
  OR(MONTH(B591)=9, MONTH(B591)=10, MONTH(B591)=11), "Fall"
)</f>
        <v>Spring</v>
      </c>
    </row>
    <row r="592" spans="1:11">
      <c r="A592">
        <v>591</v>
      </c>
      <c r="B592" s="1">
        <v>44939</v>
      </c>
      <c r="C592" t="s">
        <v>604</v>
      </c>
      <c r="D592" t="s">
        <v>10</v>
      </c>
      <c r="E592" s="2">
        <v>53</v>
      </c>
      <c r="F592" t="s">
        <v>16</v>
      </c>
      <c r="G592" s="2">
        <v>4</v>
      </c>
      <c r="H592" s="3">
        <v>25</v>
      </c>
      <c r="I592" s="3">
        <v>100</v>
      </c>
      <c r="J592" s="2" t="str">
        <f t="shared" si="9"/>
        <v>45–54</v>
      </c>
      <c r="K592" t="str" cm="1">
        <f t="array" ref="K592">_xlfn.IFS(
  OR(MONTH(B592)=12, MONTH(B592)=1, MONTH(B592)=2), "Winter",
  OR(MONTH(B592)=3, MONTH(B592)=4, MONTH(B592)=5), "Spring",
  OR(MONTH(B592)=6, MONTH(B592)=7, MONTH(B592)=8), "Summer",
  OR(MONTH(B592)=9, MONTH(B592)=10, MONTH(B592)=11), "Fall"
)</f>
        <v>Winter</v>
      </c>
    </row>
    <row r="593" spans="1:11">
      <c r="A593">
        <v>592</v>
      </c>
      <c r="B593" s="1">
        <v>44950</v>
      </c>
      <c r="C593" t="s">
        <v>605</v>
      </c>
      <c r="D593" t="s">
        <v>13</v>
      </c>
      <c r="E593" s="2">
        <v>46</v>
      </c>
      <c r="F593" t="s">
        <v>11</v>
      </c>
      <c r="G593" s="2">
        <v>4</v>
      </c>
      <c r="H593" s="3">
        <v>500</v>
      </c>
      <c r="I593" s="3">
        <v>2000</v>
      </c>
      <c r="J593" s="2" t="str">
        <f t="shared" si="9"/>
        <v>45–54</v>
      </c>
      <c r="K593" t="str" cm="1">
        <f t="array" ref="K593">_xlfn.IFS(
  OR(MONTH(B593)=12, MONTH(B593)=1, MONTH(B593)=2), "Winter",
  OR(MONTH(B593)=3, MONTH(B593)=4, MONTH(B593)=5), "Spring",
  OR(MONTH(B593)=6, MONTH(B593)=7, MONTH(B593)=8), "Summer",
  OR(MONTH(B593)=9, MONTH(B593)=10, MONTH(B593)=11), "Fall"
)</f>
        <v>Winter</v>
      </c>
    </row>
    <row r="594" spans="1:11">
      <c r="A594">
        <v>593</v>
      </c>
      <c r="B594" s="1">
        <v>45052</v>
      </c>
      <c r="C594" t="s">
        <v>606</v>
      </c>
      <c r="D594" t="s">
        <v>10</v>
      </c>
      <c r="E594" s="2">
        <v>35</v>
      </c>
      <c r="F594" t="s">
        <v>16</v>
      </c>
      <c r="G594" s="2">
        <v>2</v>
      </c>
      <c r="H594" s="3">
        <v>30</v>
      </c>
      <c r="I594" s="3">
        <v>60</v>
      </c>
      <c r="J594" s="2" t="str">
        <f t="shared" si="9"/>
        <v>35–44</v>
      </c>
      <c r="K594" t="str" cm="1">
        <f t="array" ref="K594">_xlfn.IFS(
  OR(MONTH(B594)=12, MONTH(B594)=1, MONTH(B594)=2), "Winter",
  OR(MONTH(B594)=3, MONTH(B594)=4, MONTH(B594)=5), "Spring",
  OR(MONTH(B594)=6, MONTH(B594)=7, MONTH(B594)=8), "Summer",
  OR(MONTH(B594)=9, MONTH(B594)=10, MONTH(B594)=11), "Fall"
)</f>
        <v>Spring</v>
      </c>
    </row>
    <row r="595" spans="1:11">
      <c r="A595">
        <v>594</v>
      </c>
      <c r="B595" s="1">
        <v>45170</v>
      </c>
      <c r="C595" t="s">
        <v>607</v>
      </c>
      <c r="D595" t="s">
        <v>13</v>
      </c>
      <c r="E595" s="2">
        <v>19</v>
      </c>
      <c r="F595" t="s">
        <v>16</v>
      </c>
      <c r="G595" s="2">
        <v>2</v>
      </c>
      <c r="H595" s="3">
        <v>300</v>
      </c>
      <c r="I595" s="3">
        <v>600</v>
      </c>
      <c r="J595" s="2" t="str">
        <f t="shared" si="9"/>
        <v>18–24</v>
      </c>
      <c r="K595" t="str" cm="1">
        <f t="array" ref="K595">_xlfn.IFS(
  OR(MONTH(B595)=12, MONTH(B595)=1, MONTH(B595)=2), "Winter",
  OR(MONTH(B595)=3, MONTH(B595)=4, MONTH(B595)=5), "Spring",
  OR(MONTH(B595)=6, MONTH(B595)=7, MONTH(B595)=8), "Summer",
  OR(MONTH(B595)=9, MONTH(B595)=10, MONTH(B595)=11), "Fall"
)</f>
        <v>Fall</v>
      </c>
    </row>
    <row r="596" spans="1:11">
      <c r="A596">
        <v>595</v>
      </c>
      <c r="B596" s="1">
        <v>45239</v>
      </c>
      <c r="C596" t="s">
        <v>608</v>
      </c>
      <c r="D596" t="s">
        <v>13</v>
      </c>
      <c r="E596" s="2">
        <v>18</v>
      </c>
      <c r="F596" t="s">
        <v>14</v>
      </c>
      <c r="G596" s="2">
        <v>4</v>
      </c>
      <c r="H596" s="3">
        <v>500</v>
      </c>
      <c r="I596" s="3">
        <v>2000</v>
      </c>
      <c r="J596" s="2" t="str">
        <f t="shared" si="9"/>
        <v>18–24</v>
      </c>
      <c r="K596" t="str" cm="1">
        <f t="array" ref="K596">_xlfn.IFS(
  OR(MONTH(B596)=12, MONTH(B596)=1, MONTH(B596)=2), "Winter",
  OR(MONTH(B596)=3, MONTH(B596)=4, MONTH(B596)=5), "Spring",
  OR(MONTH(B596)=6, MONTH(B596)=7, MONTH(B596)=8), "Summer",
  OR(MONTH(B596)=9, MONTH(B596)=10, MONTH(B596)=11), "Fall"
)</f>
        <v>Fall</v>
      </c>
    </row>
    <row r="597" spans="1:11">
      <c r="A597">
        <v>596</v>
      </c>
      <c r="B597" s="1">
        <v>44964</v>
      </c>
      <c r="C597" t="s">
        <v>609</v>
      </c>
      <c r="D597" t="s">
        <v>13</v>
      </c>
      <c r="E597" s="2">
        <v>64</v>
      </c>
      <c r="F597" t="s">
        <v>16</v>
      </c>
      <c r="G597" s="2">
        <v>1</v>
      </c>
      <c r="H597" s="3">
        <v>300</v>
      </c>
      <c r="I597" s="3">
        <v>300</v>
      </c>
      <c r="J597" s="2" t="str">
        <f t="shared" si="9"/>
        <v>55–64</v>
      </c>
      <c r="K597" t="str" cm="1">
        <f t="array" ref="K597">_xlfn.IFS(
  OR(MONTH(B597)=12, MONTH(B597)=1, MONTH(B597)=2), "Winter",
  OR(MONTH(B597)=3, MONTH(B597)=4, MONTH(B597)=5), "Spring",
  OR(MONTH(B597)=6, MONTH(B597)=7, MONTH(B597)=8), "Summer",
  OR(MONTH(B597)=9, MONTH(B597)=10, MONTH(B597)=11), "Fall"
)</f>
        <v>Winter</v>
      </c>
    </row>
    <row r="598" spans="1:11">
      <c r="A598">
        <v>597</v>
      </c>
      <c r="B598" s="1">
        <v>45160</v>
      </c>
      <c r="C598" t="s">
        <v>610</v>
      </c>
      <c r="D598" t="s">
        <v>10</v>
      </c>
      <c r="E598" s="2">
        <v>22</v>
      </c>
      <c r="F598" t="s">
        <v>11</v>
      </c>
      <c r="G598" s="2">
        <v>4</v>
      </c>
      <c r="H598" s="3">
        <v>300</v>
      </c>
      <c r="I598" s="3">
        <v>1200</v>
      </c>
      <c r="J598" s="2" t="str">
        <f t="shared" si="9"/>
        <v>18–24</v>
      </c>
      <c r="K598" t="str" cm="1">
        <f t="array" ref="K598">_xlfn.IFS(
  OR(MONTH(B598)=12, MONTH(B598)=1, MONTH(B598)=2), "Winter",
  OR(MONTH(B598)=3, MONTH(B598)=4, MONTH(B598)=5), "Spring",
  OR(MONTH(B598)=6, MONTH(B598)=7, MONTH(B598)=8), "Summer",
  OR(MONTH(B598)=9, MONTH(B598)=10, MONTH(B598)=11), "Fall"
)</f>
        <v>Summer</v>
      </c>
    </row>
    <row r="599" spans="1:11">
      <c r="A599">
        <v>598</v>
      </c>
      <c r="B599" s="1">
        <v>45139</v>
      </c>
      <c r="C599" t="s">
        <v>611</v>
      </c>
      <c r="D599" t="s">
        <v>10</v>
      </c>
      <c r="E599" s="2">
        <v>37</v>
      </c>
      <c r="F599" t="s">
        <v>11</v>
      </c>
      <c r="G599" s="2">
        <v>4</v>
      </c>
      <c r="H599" s="3">
        <v>30</v>
      </c>
      <c r="I599" s="3">
        <v>120</v>
      </c>
      <c r="J599" s="2" t="str">
        <f t="shared" si="9"/>
        <v>35–44</v>
      </c>
      <c r="K599" t="str" cm="1">
        <f t="array" ref="K599">_xlfn.IFS(
  OR(MONTH(B599)=12, MONTH(B599)=1, MONTH(B599)=2), "Winter",
  OR(MONTH(B599)=3, MONTH(B599)=4, MONTH(B599)=5), "Spring",
  OR(MONTH(B599)=6, MONTH(B599)=7, MONTH(B599)=8), "Summer",
  OR(MONTH(B599)=9, MONTH(B599)=10, MONTH(B599)=11), "Fall"
)</f>
        <v>Summer</v>
      </c>
    </row>
    <row r="600" spans="1:11">
      <c r="A600">
        <v>599</v>
      </c>
      <c r="B600" s="1">
        <v>45249</v>
      </c>
      <c r="C600" t="s">
        <v>612</v>
      </c>
      <c r="D600" t="s">
        <v>13</v>
      </c>
      <c r="E600" s="2">
        <v>28</v>
      </c>
      <c r="F600" t="s">
        <v>11</v>
      </c>
      <c r="G600" s="2">
        <v>2</v>
      </c>
      <c r="H600" s="3">
        <v>50</v>
      </c>
      <c r="I600" s="3">
        <v>100</v>
      </c>
      <c r="J600" s="2" t="str">
        <f t="shared" si="9"/>
        <v>25–34</v>
      </c>
      <c r="K600" t="str" cm="1">
        <f t="array" ref="K600">_xlfn.IFS(
  OR(MONTH(B600)=12, MONTH(B600)=1, MONTH(B600)=2), "Winter",
  OR(MONTH(B600)=3, MONTH(B600)=4, MONTH(B600)=5), "Spring",
  OR(MONTH(B600)=6, MONTH(B600)=7, MONTH(B600)=8), "Summer",
  OR(MONTH(B600)=9, MONTH(B600)=10, MONTH(B600)=11), "Fall"
)</f>
        <v>Fall</v>
      </c>
    </row>
    <row r="601" spans="1:11">
      <c r="A601">
        <v>600</v>
      </c>
      <c r="B601" s="1">
        <v>45221</v>
      </c>
      <c r="C601" t="s">
        <v>613</v>
      </c>
      <c r="D601" t="s">
        <v>13</v>
      </c>
      <c r="E601" s="2">
        <v>59</v>
      </c>
      <c r="F601" t="s">
        <v>11</v>
      </c>
      <c r="G601" s="2">
        <v>2</v>
      </c>
      <c r="H601" s="3">
        <v>500</v>
      </c>
      <c r="I601" s="3">
        <v>1000</v>
      </c>
      <c r="J601" s="2" t="str">
        <f t="shared" si="9"/>
        <v>55–64</v>
      </c>
      <c r="K601" t="str" cm="1">
        <f t="array" ref="K601">_xlfn.IFS(
  OR(MONTH(B601)=12, MONTH(B601)=1, MONTH(B601)=2), "Winter",
  OR(MONTH(B601)=3, MONTH(B601)=4, MONTH(B601)=5), "Spring",
  OR(MONTH(B601)=6, MONTH(B601)=7, MONTH(B601)=8), "Summer",
  OR(MONTH(B601)=9, MONTH(B601)=10, MONTH(B601)=11), "Fall"
)</f>
        <v>Fall</v>
      </c>
    </row>
    <row r="602" spans="1:11">
      <c r="A602">
        <v>601</v>
      </c>
      <c r="B602" s="1">
        <v>45026</v>
      </c>
      <c r="C602" t="s">
        <v>614</v>
      </c>
      <c r="D602" t="s">
        <v>10</v>
      </c>
      <c r="E602" s="2">
        <v>19</v>
      </c>
      <c r="F602" t="s">
        <v>14</v>
      </c>
      <c r="G602" s="2">
        <v>1</v>
      </c>
      <c r="H602" s="3">
        <v>30</v>
      </c>
      <c r="I602" s="3">
        <v>30</v>
      </c>
      <c r="J602" s="2" t="str">
        <f t="shared" si="9"/>
        <v>18–24</v>
      </c>
      <c r="K602" t="str" cm="1">
        <f t="array" ref="K602">_xlfn.IFS(
  OR(MONTH(B602)=12, MONTH(B602)=1, MONTH(B602)=2), "Winter",
  OR(MONTH(B602)=3, MONTH(B602)=4, MONTH(B602)=5), "Spring",
  OR(MONTH(B602)=6, MONTH(B602)=7, MONTH(B602)=8), "Summer",
  OR(MONTH(B602)=9, MONTH(B602)=10, MONTH(B602)=11), "Fall"
)</f>
        <v>Spring</v>
      </c>
    </row>
    <row r="603" spans="1:11">
      <c r="A603">
        <v>602</v>
      </c>
      <c r="B603" s="1">
        <v>45283</v>
      </c>
      <c r="C603" t="s">
        <v>615</v>
      </c>
      <c r="D603" t="s">
        <v>13</v>
      </c>
      <c r="E603" s="2">
        <v>20</v>
      </c>
      <c r="F603" t="s">
        <v>16</v>
      </c>
      <c r="G603" s="2">
        <v>1</v>
      </c>
      <c r="H603" s="3">
        <v>300</v>
      </c>
      <c r="I603" s="3">
        <v>300</v>
      </c>
      <c r="J603" s="2" t="str">
        <f t="shared" si="9"/>
        <v>18–24</v>
      </c>
      <c r="K603" t="str" cm="1">
        <f t="array" ref="K603">_xlfn.IFS(
  OR(MONTH(B603)=12, MONTH(B603)=1, MONTH(B603)=2), "Winter",
  OR(MONTH(B603)=3, MONTH(B603)=4, MONTH(B603)=5), "Spring",
  OR(MONTH(B603)=6, MONTH(B603)=7, MONTH(B603)=8), "Summer",
  OR(MONTH(B603)=9, MONTH(B603)=10, MONTH(B603)=11), "Fall"
)</f>
        <v>Winter</v>
      </c>
    </row>
    <row r="604" spans="1:11">
      <c r="A604">
        <v>603</v>
      </c>
      <c r="B604" s="1">
        <v>45123</v>
      </c>
      <c r="C604" t="s">
        <v>616</v>
      </c>
      <c r="D604" t="s">
        <v>13</v>
      </c>
      <c r="E604" s="2">
        <v>40</v>
      </c>
      <c r="F604" t="s">
        <v>14</v>
      </c>
      <c r="G604" s="2">
        <v>3</v>
      </c>
      <c r="H604" s="3">
        <v>30</v>
      </c>
      <c r="I604" s="3">
        <v>90</v>
      </c>
      <c r="J604" s="2" t="str">
        <f t="shared" si="9"/>
        <v>35–44</v>
      </c>
      <c r="K604" t="str" cm="1">
        <f t="array" ref="K604">_xlfn.IFS(
  OR(MONTH(B604)=12, MONTH(B604)=1, MONTH(B604)=2), "Winter",
  OR(MONTH(B604)=3, MONTH(B604)=4, MONTH(B604)=5), "Spring",
  OR(MONTH(B604)=6, MONTH(B604)=7, MONTH(B604)=8), "Summer",
  OR(MONTH(B604)=9, MONTH(B604)=10, MONTH(B604)=11), "Fall"
)</f>
        <v>Summer</v>
      </c>
    </row>
    <row r="605" spans="1:11">
      <c r="A605">
        <v>604</v>
      </c>
      <c r="B605" s="1">
        <v>45180</v>
      </c>
      <c r="C605" t="s">
        <v>617</v>
      </c>
      <c r="D605" t="s">
        <v>13</v>
      </c>
      <c r="E605" s="2">
        <v>29</v>
      </c>
      <c r="F605" t="s">
        <v>16</v>
      </c>
      <c r="G605" s="2">
        <v>4</v>
      </c>
      <c r="H605" s="3">
        <v>50</v>
      </c>
      <c r="I605" s="3">
        <v>200</v>
      </c>
      <c r="J605" s="2" t="str">
        <f t="shared" si="9"/>
        <v>25–34</v>
      </c>
      <c r="K605" t="str" cm="1">
        <f t="array" ref="K605">_xlfn.IFS(
  OR(MONTH(B605)=12, MONTH(B605)=1, MONTH(B605)=2), "Winter",
  OR(MONTH(B605)=3, MONTH(B605)=4, MONTH(B605)=5), "Spring",
  OR(MONTH(B605)=6, MONTH(B605)=7, MONTH(B605)=8), "Summer",
  OR(MONTH(B605)=9, MONTH(B605)=10, MONTH(B605)=11), "Fall"
)</f>
        <v>Fall</v>
      </c>
    </row>
    <row r="606" spans="1:11">
      <c r="A606">
        <v>605</v>
      </c>
      <c r="B606" s="1">
        <v>45131</v>
      </c>
      <c r="C606" t="s">
        <v>618</v>
      </c>
      <c r="D606" t="s">
        <v>10</v>
      </c>
      <c r="E606" s="2">
        <v>37</v>
      </c>
      <c r="F606" t="s">
        <v>16</v>
      </c>
      <c r="G606" s="2">
        <v>2</v>
      </c>
      <c r="H606" s="3">
        <v>500</v>
      </c>
      <c r="I606" s="3">
        <v>1000</v>
      </c>
      <c r="J606" s="2" t="str">
        <f t="shared" si="9"/>
        <v>35–44</v>
      </c>
      <c r="K606" t="str" cm="1">
        <f t="array" ref="K606">_xlfn.IFS(
  OR(MONTH(B606)=12, MONTH(B606)=1, MONTH(B606)=2), "Winter",
  OR(MONTH(B606)=3, MONTH(B606)=4, MONTH(B606)=5), "Spring",
  OR(MONTH(B606)=6, MONTH(B606)=7, MONTH(B606)=8), "Summer",
  OR(MONTH(B606)=9, MONTH(B606)=10, MONTH(B606)=11), "Fall"
)</f>
        <v>Summer</v>
      </c>
    </row>
    <row r="607" spans="1:11">
      <c r="A607">
        <v>606</v>
      </c>
      <c r="B607" s="1">
        <v>45051</v>
      </c>
      <c r="C607" t="s">
        <v>619</v>
      </c>
      <c r="D607" t="s">
        <v>10</v>
      </c>
      <c r="E607" s="2">
        <v>22</v>
      </c>
      <c r="F607" t="s">
        <v>16</v>
      </c>
      <c r="G607" s="2">
        <v>1</v>
      </c>
      <c r="H607" s="3">
        <v>50</v>
      </c>
      <c r="I607" s="3">
        <v>50</v>
      </c>
      <c r="J607" s="2" t="str">
        <f t="shared" si="9"/>
        <v>18–24</v>
      </c>
      <c r="K607" t="str" cm="1">
        <f t="array" ref="K607">_xlfn.IFS(
  OR(MONTH(B607)=12, MONTH(B607)=1, MONTH(B607)=2), "Winter",
  OR(MONTH(B607)=3, MONTH(B607)=4, MONTH(B607)=5), "Spring",
  OR(MONTH(B607)=6, MONTH(B607)=7, MONTH(B607)=8), "Summer",
  OR(MONTH(B607)=9, MONTH(B607)=10, MONTH(B607)=11), "Fall"
)</f>
        <v>Spring</v>
      </c>
    </row>
    <row r="608" spans="1:11">
      <c r="A608">
        <v>607</v>
      </c>
      <c r="B608" s="1">
        <v>45002</v>
      </c>
      <c r="C608" t="s">
        <v>620</v>
      </c>
      <c r="D608" t="s">
        <v>10</v>
      </c>
      <c r="E608" s="2">
        <v>54</v>
      </c>
      <c r="F608" t="s">
        <v>14</v>
      </c>
      <c r="G608" s="2">
        <v>3</v>
      </c>
      <c r="H608" s="3">
        <v>25</v>
      </c>
      <c r="I608" s="3">
        <v>75</v>
      </c>
      <c r="J608" s="2" t="str">
        <f t="shared" si="9"/>
        <v>45–54</v>
      </c>
      <c r="K608" t="str" cm="1">
        <f t="array" ref="K608">_xlfn.IFS(
  OR(MONTH(B608)=12, MONTH(B608)=1, MONTH(B608)=2), "Winter",
  OR(MONTH(B608)=3, MONTH(B608)=4, MONTH(B608)=5), "Spring",
  OR(MONTH(B608)=6, MONTH(B608)=7, MONTH(B608)=8), "Summer",
  OR(MONTH(B608)=9, MONTH(B608)=10, MONTH(B608)=11), "Fall"
)</f>
        <v>Spring</v>
      </c>
    </row>
    <row r="609" spans="1:11">
      <c r="A609">
        <v>608</v>
      </c>
      <c r="B609" s="1">
        <v>45262</v>
      </c>
      <c r="C609" t="s">
        <v>621</v>
      </c>
      <c r="D609" t="s">
        <v>13</v>
      </c>
      <c r="E609" s="2">
        <v>55</v>
      </c>
      <c r="F609" t="s">
        <v>16</v>
      </c>
      <c r="G609" s="2">
        <v>3</v>
      </c>
      <c r="H609" s="3">
        <v>500</v>
      </c>
      <c r="I609" s="3">
        <v>1500</v>
      </c>
      <c r="J609" s="2" t="str">
        <f t="shared" si="9"/>
        <v>55–64</v>
      </c>
      <c r="K609" t="str" cm="1">
        <f t="array" ref="K609">_xlfn.IFS(
  OR(MONTH(B609)=12, MONTH(B609)=1, MONTH(B609)=2), "Winter",
  OR(MONTH(B609)=3, MONTH(B609)=4, MONTH(B609)=5), "Spring",
  OR(MONTH(B609)=6, MONTH(B609)=7, MONTH(B609)=8), "Summer",
  OR(MONTH(B609)=9, MONTH(B609)=10, MONTH(B609)=11), "Fall"
)</f>
        <v>Winter</v>
      </c>
    </row>
    <row r="610" spans="1:11">
      <c r="A610">
        <v>609</v>
      </c>
      <c r="B610" s="1">
        <v>45279</v>
      </c>
      <c r="C610" t="s">
        <v>622</v>
      </c>
      <c r="D610" t="s">
        <v>13</v>
      </c>
      <c r="E610" s="2">
        <v>47</v>
      </c>
      <c r="F610" t="s">
        <v>14</v>
      </c>
      <c r="G610" s="2">
        <v>2</v>
      </c>
      <c r="H610" s="3">
        <v>50</v>
      </c>
      <c r="I610" s="3">
        <v>100</v>
      </c>
      <c r="J610" s="2" t="str">
        <f t="shared" si="9"/>
        <v>45–54</v>
      </c>
      <c r="K610" t="str" cm="1">
        <f t="array" ref="K610">_xlfn.IFS(
  OR(MONTH(B610)=12, MONTH(B610)=1, MONTH(B610)=2), "Winter",
  OR(MONTH(B610)=3, MONTH(B610)=4, MONTH(B610)=5), "Spring",
  OR(MONTH(B610)=6, MONTH(B610)=7, MONTH(B610)=8), "Summer",
  OR(MONTH(B610)=9, MONTH(B610)=10, MONTH(B610)=11), "Fall"
)</f>
        <v>Winter</v>
      </c>
    </row>
    <row r="611" spans="1:11">
      <c r="A611">
        <v>610</v>
      </c>
      <c r="B611" s="1">
        <v>44929</v>
      </c>
      <c r="C611" t="s">
        <v>623</v>
      </c>
      <c r="D611" t="s">
        <v>13</v>
      </c>
      <c r="E611" s="2">
        <v>26</v>
      </c>
      <c r="F611" t="s">
        <v>11</v>
      </c>
      <c r="G611" s="2">
        <v>2</v>
      </c>
      <c r="H611" s="3">
        <v>300</v>
      </c>
      <c r="I611" s="3">
        <v>600</v>
      </c>
      <c r="J611" s="2" t="str">
        <f t="shared" si="9"/>
        <v>25–34</v>
      </c>
      <c r="K611" t="str" cm="1">
        <f t="array" ref="K611">_xlfn.IFS(
  OR(MONTH(B611)=12, MONTH(B611)=1, MONTH(B611)=2), "Winter",
  OR(MONTH(B611)=3, MONTH(B611)=4, MONTH(B611)=5), "Spring",
  OR(MONTH(B611)=6, MONTH(B611)=7, MONTH(B611)=8), "Summer",
  OR(MONTH(B611)=9, MONTH(B611)=10, MONTH(B611)=11), "Fall"
)</f>
        <v>Winter</v>
      </c>
    </row>
    <row r="612" spans="1:11">
      <c r="A612">
        <v>611</v>
      </c>
      <c r="B612" s="1">
        <v>44981</v>
      </c>
      <c r="C612" t="s">
        <v>624</v>
      </c>
      <c r="D612" t="s">
        <v>10</v>
      </c>
      <c r="E612" s="2">
        <v>51</v>
      </c>
      <c r="F612" t="s">
        <v>11</v>
      </c>
      <c r="G612" s="2">
        <v>3</v>
      </c>
      <c r="H612" s="3">
        <v>500</v>
      </c>
      <c r="I612" s="3">
        <v>1500</v>
      </c>
      <c r="J612" s="2" t="str">
        <f t="shared" si="9"/>
        <v>45–54</v>
      </c>
      <c r="K612" t="str" cm="1">
        <f t="array" ref="K612">_xlfn.IFS(
  OR(MONTH(B612)=12, MONTH(B612)=1, MONTH(B612)=2), "Winter",
  OR(MONTH(B612)=3, MONTH(B612)=4, MONTH(B612)=5), "Spring",
  OR(MONTH(B612)=6, MONTH(B612)=7, MONTH(B612)=8), "Summer",
  OR(MONTH(B612)=9, MONTH(B612)=10, MONTH(B612)=11), "Fall"
)</f>
        <v>Winter</v>
      </c>
    </row>
    <row r="613" spans="1:11">
      <c r="A613">
        <v>612</v>
      </c>
      <c r="B613" s="1">
        <v>45144</v>
      </c>
      <c r="C613" t="s">
        <v>625</v>
      </c>
      <c r="D613" t="s">
        <v>13</v>
      </c>
      <c r="E613" s="2">
        <v>61</v>
      </c>
      <c r="F613" t="s">
        <v>16</v>
      </c>
      <c r="G613" s="2">
        <v>1</v>
      </c>
      <c r="H613" s="3">
        <v>500</v>
      </c>
      <c r="I613" s="3">
        <v>500</v>
      </c>
      <c r="J613" s="2" t="str">
        <f t="shared" si="9"/>
        <v>55–64</v>
      </c>
      <c r="K613" t="str" cm="1">
        <f t="array" ref="K613">_xlfn.IFS(
  OR(MONTH(B613)=12, MONTH(B613)=1, MONTH(B613)=2), "Winter",
  OR(MONTH(B613)=3, MONTH(B613)=4, MONTH(B613)=5), "Spring",
  OR(MONTH(B613)=6, MONTH(B613)=7, MONTH(B613)=8), "Summer",
  OR(MONTH(B613)=9, MONTH(B613)=10, MONTH(B613)=11), "Fall"
)</f>
        <v>Summer</v>
      </c>
    </row>
    <row r="614" spans="1:11">
      <c r="A614">
        <v>613</v>
      </c>
      <c r="B614" s="1">
        <v>45039</v>
      </c>
      <c r="C614" t="s">
        <v>626</v>
      </c>
      <c r="D614" t="s">
        <v>13</v>
      </c>
      <c r="E614" s="2">
        <v>52</v>
      </c>
      <c r="F614" t="s">
        <v>14</v>
      </c>
      <c r="G614" s="2">
        <v>3</v>
      </c>
      <c r="H614" s="3">
        <v>30</v>
      </c>
      <c r="I614" s="3">
        <v>90</v>
      </c>
      <c r="J614" s="2" t="str">
        <f t="shared" si="9"/>
        <v>45–54</v>
      </c>
      <c r="K614" t="str" cm="1">
        <f t="array" ref="K614">_xlfn.IFS(
  OR(MONTH(B614)=12, MONTH(B614)=1, MONTH(B614)=2), "Winter",
  OR(MONTH(B614)=3, MONTH(B614)=4, MONTH(B614)=5), "Spring",
  OR(MONTH(B614)=6, MONTH(B614)=7, MONTH(B614)=8), "Summer",
  OR(MONTH(B614)=9, MONTH(B614)=10, MONTH(B614)=11), "Fall"
)</f>
        <v>Spring</v>
      </c>
    </row>
    <row r="615" spans="1:11">
      <c r="A615">
        <v>614</v>
      </c>
      <c r="B615" s="1">
        <v>45017</v>
      </c>
      <c r="C615" t="s">
        <v>627</v>
      </c>
      <c r="D615" t="s">
        <v>13</v>
      </c>
      <c r="E615" s="2">
        <v>39</v>
      </c>
      <c r="F615" t="s">
        <v>11</v>
      </c>
      <c r="G615" s="2">
        <v>4</v>
      </c>
      <c r="H615" s="3">
        <v>300</v>
      </c>
      <c r="I615" s="3">
        <v>1200</v>
      </c>
      <c r="J615" s="2" t="str">
        <f t="shared" si="9"/>
        <v>35–44</v>
      </c>
      <c r="K615" t="str" cm="1">
        <f t="array" ref="K615">_xlfn.IFS(
  OR(MONTH(B615)=12, MONTH(B615)=1, MONTH(B615)=2), "Winter",
  OR(MONTH(B615)=3, MONTH(B615)=4, MONTH(B615)=5), "Spring",
  OR(MONTH(B615)=6, MONTH(B615)=7, MONTH(B615)=8), "Summer",
  OR(MONTH(B615)=9, MONTH(B615)=10, MONTH(B615)=11), "Fall"
)</f>
        <v>Spring</v>
      </c>
    </row>
    <row r="616" spans="1:11">
      <c r="A616">
        <v>615</v>
      </c>
      <c r="B616" s="1">
        <v>45283</v>
      </c>
      <c r="C616" t="s">
        <v>628</v>
      </c>
      <c r="D616" t="s">
        <v>13</v>
      </c>
      <c r="E616" s="2">
        <v>61</v>
      </c>
      <c r="F616" t="s">
        <v>14</v>
      </c>
      <c r="G616" s="2">
        <v>4</v>
      </c>
      <c r="H616" s="3">
        <v>25</v>
      </c>
      <c r="I616" s="3">
        <v>100</v>
      </c>
      <c r="J616" s="2" t="str">
        <f t="shared" si="9"/>
        <v>55–64</v>
      </c>
      <c r="K616" t="str" cm="1">
        <f t="array" ref="K616">_xlfn.IFS(
  OR(MONTH(B616)=12, MONTH(B616)=1, MONTH(B616)=2), "Winter",
  OR(MONTH(B616)=3, MONTH(B616)=4, MONTH(B616)=5), "Spring",
  OR(MONTH(B616)=6, MONTH(B616)=7, MONTH(B616)=8), "Summer",
  OR(MONTH(B616)=9, MONTH(B616)=10, MONTH(B616)=11), "Fall"
)</f>
        <v>Winter</v>
      </c>
    </row>
    <row r="617" spans="1:11">
      <c r="A617">
        <v>616</v>
      </c>
      <c r="B617" s="1">
        <v>45192</v>
      </c>
      <c r="C617" t="s">
        <v>629</v>
      </c>
      <c r="D617" t="s">
        <v>10</v>
      </c>
      <c r="E617" s="2">
        <v>41</v>
      </c>
      <c r="F617" t="s">
        <v>14</v>
      </c>
      <c r="G617" s="2">
        <v>2</v>
      </c>
      <c r="H617" s="3">
        <v>50</v>
      </c>
      <c r="I617" s="3">
        <v>100</v>
      </c>
      <c r="J617" s="2" t="str">
        <f t="shared" si="9"/>
        <v>35–44</v>
      </c>
      <c r="K617" t="str" cm="1">
        <f t="array" ref="K617">_xlfn.IFS(
  OR(MONTH(B617)=12, MONTH(B617)=1, MONTH(B617)=2), "Winter",
  OR(MONTH(B617)=3, MONTH(B617)=4, MONTH(B617)=5), "Spring",
  OR(MONTH(B617)=6, MONTH(B617)=7, MONTH(B617)=8), "Summer",
  OR(MONTH(B617)=9, MONTH(B617)=10, MONTH(B617)=11), "Fall"
)</f>
        <v>Fall</v>
      </c>
    </row>
    <row r="618" spans="1:11">
      <c r="A618">
        <v>617</v>
      </c>
      <c r="B618" s="1">
        <v>45164</v>
      </c>
      <c r="C618" t="s">
        <v>630</v>
      </c>
      <c r="D618" t="s">
        <v>10</v>
      </c>
      <c r="E618" s="2">
        <v>34</v>
      </c>
      <c r="F618" t="s">
        <v>16</v>
      </c>
      <c r="G618" s="2">
        <v>1</v>
      </c>
      <c r="H618" s="3">
        <v>30</v>
      </c>
      <c r="I618" s="3">
        <v>30</v>
      </c>
      <c r="J618" s="2" t="str">
        <f t="shared" si="9"/>
        <v>25–34</v>
      </c>
      <c r="K618" t="str" cm="1">
        <f t="array" ref="K618">_xlfn.IFS(
  OR(MONTH(B618)=12, MONTH(B618)=1, MONTH(B618)=2), "Winter",
  OR(MONTH(B618)=3, MONTH(B618)=4, MONTH(B618)=5), "Spring",
  OR(MONTH(B618)=6, MONTH(B618)=7, MONTH(B618)=8), "Summer",
  OR(MONTH(B618)=9, MONTH(B618)=10, MONTH(B618)=11), "Fall"
)</f>
        <v>Summer</v>
      </c>
    </row>
    <row r="619" spans="1:11">
      <c r="A619">
        <v>618</v>
      </c>
      <c r="B619" s="1">
        <v>44952</v>
      </c>
      <c r="C619" t="s">
        <v>631</v>
      </c>
      <c r="D619" t="s">
        <v>13</v>
      </c>
      <c r="E619" s="2">
        <v>27</v>
      </c>
      <c r="F619" t="s">
        <v>11</v>
      </c>
      <c r="G619" s="2">
        <v>1</v>
      </c>
      <c r="H619" s="3">
        <v>50</v>
      </c>
      <c r="I619" s="3">
        <v>50</v>
      </c>
      <c r="J619" s="2" t="str">
        <f t="shared" si="9"/>
        <v>25–34</v>
      </c>
      <c r="K619" t="str" cm="1">
        <f t="array" ref="K619">_xlfn.IFS(
  OR(MONTH(B619)=12, MONTH(B619)=1, MONTH(B619)=2), "Winter",
  OR(MONTH(B619)=3, MONTH(B619)=4, MONTH(B619)=5), "Spring",
  OR(MONTH(B619)=6, MONTH(B619)=7, MONTH(B619)=8), "Summer",
  OR(MONTH(B619)=9, MONTH(B619)=10, MONTH(B619)=11), "Fall"
)</f>
        <v>Winter</v>
      </c>
    </row>
    <row r="620" spans="1:11">
      <c r="A620">
        <v>619</v>
      </c>
      <c r="B620" s="1">
        <v>45212</v>
      </c>
      <c r="C620" t="s">
        <v>632</v>
      </c>
      <c r="D620" t="s">
        <v>10</v>
      </c>
      <c r="E620" s="2">
        <v>47</v>
      </c>
      <c r="F620" t="s">
        <v>16</v>
      </c>
      <c r="G620" s="2">
        <v>4</v>
      </c>
      <c r="H620" s="3">
        <v>25</v>
      </c>
      <c r="I620" s="3">
        <v>100</v>
      </c>
      <c r="J620" s="2" t="str">
        <f t="shared" si="9"/>
        <v>45–54</v>
      </c>
      <c r="K620" t="str" cm="1">
        <f t="array" ref="K620">_xlfn.IFS(
  OR(MONTH(B620)=12, MONTH(B620)=1, MONTH(B620)=2), "Winter",
  OR(MONTH(B620)=3, MONTH(B620)=4, MONTH(B620)=5), "Spring",
  OR(MONTH(B620)=6, MONTH(B620)=7, MONTH(B620)=8), "Summer",
  OR(MONTH(B620)=9, MONTH(B620)=10, MONTH(B620)=11), "Fall"
)</f>
        <v>Fall</v>
      </c>
    </row>
    <row r="621" spans="1:11">
      <c r="A621">
        <v>620</v>
      </c>
      <c r="B621" s="1">
        <v>45054</v>
      </c>
      <c r="C621" t="s">
        <v>633</v>
      </c>
      <c r="D621" t="s">
        <v>10</v>
      </c>
      <c r="E621" s="2">
        <v>63</v>
      </c>
      <c r="F621" t="s">
        <v>16</v>
      </c>
      <c r="G621" s="2">
        <v>3</v>
      </c>
      <c r="H621" s="3">
        <v>25</v>
      </c>
      <c r="I621" s="3">
        <v>75</v>
      </c>
      <c r="J621" s="2" t="str">
        <f t="shared" si="9"/>
        <v>55–64</v>
      </c>
      <c r="K621" t="str" cm="1">
        <f t="array" ref="K621">_xlfn.IFS(
  OR(MONTH(B621)=12, MONTH(B621)=1, MONTH(B621)=2), "Winter",
  OR(MONTH(B621)=3, MONTH(B621)=4, MONTH(B621)=5), "Spring",
  OR(MONTH(B621)=6, MONTH(B621)=7, MONTH(B621)=8), "Summer",
  OR(MONTH(B621)=9, MONTH(B621)=10, MONTH(B621)=11), "Fall"
)</f>
        <v>Spring</v>
      </c>
    </row>
    <row r="622" spans="1:11">
      <c r="A622">
        <v>621</v>
      </c>
      <c r="B622" s="1">
        <v>44989</v>
      </c>
      <c r="C622" t="s">
        <v>634</v>
      </c>
      <c r="D622" t="s">
        <v>13</v>
      </c>
      <c r="E622" s="2">
        <v>40</v>
      </c>
      <c r="F622" t="s">
        <v>11</v>
      </c>
      <c r="G622" s="2">
        <v>2</v>
      </c>
      <c r="H622" s="3">
        <v>500</v>
      </c>
      <c r="I622" s="3">
        <v>1000</v>
      </c>
      <c r="J622" s="2" t="str">
        <f t="shared" si="9"/>
        <v>35–44</v>
      </c>
      <c r="K622" t="str" cm="1">
        <f t="array" ref="K622">_xlfn.IFS(
  OR(MONTH(B622)=12, MONTH(B622)=1, MONTH(B622)=2), "Winter",
  OR(MONTH(B622)=3, MONTH(B622)=4, MONTH(B622)=5), "Spring",
  OR(MONTH(B622)=6, MONTH(B622)=7, MONTH(B622)=8), "Summer",
  OR(MONTH(B622)=9, MONTH(B622)=10, MONTH(B622)=11), "Fall"
)</f>
        <v>Spring</v>
      </c>
    </row>
    <row r="623" spans="1:11">
      <c r="A623">
        <v>622</v>
      </c>
      <c r="B623" s="1">
        <v>45160</v>
      </c>
      <c r="C623" t="s">
        <v>635</v>
      </c>
      <c r="D623" t="s">
        <v>13</v>
      </c>
      <c r="E623" s="2">
        <v>49</v>
      </c>
      <c r="F623" t="s">
        <v>11</v>
      </c>
      <c r="G623" s="2">
        <v>3</v>
      </c>
      <c r="H623" s="3">
        <v>25</v>
      </c>
      <c r="I623" s="3">
        <v>75</v>
      </c>
      <c r="J623" s="2" t="str">
        <f t="shared" si="9"/>
        <v>45–54</v>
      </c>
      <c r="K623" t="str" cm="1">
        <f t="array" ref="K623">_xlfn.IFS(
  OR(MONTH(B623)=12, MONTH(B623)=1, MONTH(B623)=2), "Winter",
  OR(MONTH(B623)=3, MONTH(B623)=4, MONTH(B623)=5), "Spring",
  OR(MONTH(B623)=6, MONTH(B623)=7, MONTH(B623)=8), "Summer",
  OR(MONTH(B623)=9, MONTH(B623)=10, MONTH(B623)=11), "Fall"
)</f>
        <v>Summer</v>
      </c>
    </row>
    <row r="624" spans="1:11">
      <c r="A624">
        <v>623</v>
      </c>
      <c r="B624" s="1">
        <v>44995</v>
      </c>
      <c r="C624" t="s">
        <v>636</v>
      </c>
      <c r="D624" t="s">
        <v>10</v>
      </c>
      <c r="E624" s="2">
        <v>34</v>
      </c>
      <c r="F624" t="s">
        <v>14</v>
      </c>
      <c r="G624" s="2">
        <v>3</v>
      </c>
      <c r="H624" s="3">
        <v>50</v>
      </c>
      <c r="I624" s="3">
        <v>150</v>
      </c>
      <c r="J624" s="2" t="str">
        <f t="shared" si="9"/>
        <v>25–34</v>
      </c>
      <c r="K624" t="str" cm="1">
        <f t="array" ref="K624">_xlfn.IFS(
  OR(MONTH(B624)=12, MONTH(B624)=1, MONTH(B624)=2), "Winter",
  OR(MONTH(B624)=3, MONTH(B624)=4, MONTH(B624)=5), "Spring",
  OR(MONTH(B624)=6, MONTH(B624)=7, MONTH(B624)=8), "Summer",
  OR(MONTH(B624)=9, MONTH(B624)=10, MONTH(B624)=11), "Fall"
)</f>
        <v>Spring</v>
      </c>
    </row>
    <row r="625" spans="1:11">
      <c r="A625">
        <v>624</v>
      </c>
      <c r="B625" s="1">
        <v>45164</v>
      </c>
      <c r="C625" t="s">
        <v>637</v>
      </c>
      <c r="D625" t="s">
        <v>13</v>
      </c>
      <c r="E625" s="2">
        <v>34</v>
      </c>
      <c r="F625" t="s">
        <v>11</v>
      </c>
      <c r="G625" s="2">
        <v>3</v>
      </c>
      <c r="H625" s="3">
        <v>300</v>
      </c>
      <c r="I625" s="3">
        <v>900</v>
      </c>
      <c r="J625" s="2" t="str">
        <f t="shared" si="9"/>
        <v>25–34</v>
      </c>
      <c r="K625" t="str" cm="1">
        <f t="array" ref="K625">_xlfn.IFS(
  OR(MONTH(B625)=12, MONTH(B625)=1, MONTH(B625)=2), "Winter",
  OR(MONTH(B625)=3, MONTH(B625)=4, MONTH(B625)=5), "Spring",
  OR(MONTH(B625)=6, MONTH(B625)=7, MONTH(B625)=8), "Summer",
  OR(MONTH(B625)=9, MONTH(B625)=10, MONTH(B625)=11), "Fall"
)</f>
        <v>Summer</v>
      </c>
    </row>
    <row r="626" spans="1:11">
      <c r="A626">
        <v>625</v>
      </c>
      <c r="B626" s="1">
        <v>45268</v>
      </c>
      <c r="C626" t="s">
        <v>638</v>
      </c>
      <c r="D626" t="s">
        <v>10</v>
      </c>
      <c r="E626" s="2">
        <v>31</v>
      </c>
      <c r="F626" t="s">
        <v>14</v>
      </c>
      <c r="G626" s="2">
        <v>1</v>
      </c>
      <c r="H626" s="3">
        <v>300</v>
      </c>
      <c r="I626" s="3">
        <v>300</v>
      </c>
      <c r="J626" s="2" t="str">
        <f t="shared" si="9"/>
        <v>25–34</v>
      </c>
      <c r="K626" t="str" cm="1">
        <f t="array" ref="K626">_xlfn.IFS(
  OR(MONTH(B626)=12, MONTH(B626)=1, MONTH(B626)=2), "Winter",
  OR(MONTH(B626)=3, MONTH(B626)=4, MONTH(B626)=5), "Spring",
  OR(MONTH(B626)=6, MONTH(B626)=7, MONTH(B626)=8), "Summer",
  OR(MONTH(B626)=9, MONTH(B626)=10, MONTH(B626)=11), "Fall"
)</f>
        <v>Winter</v>
      </c>
    </row>
    <row r="627" spans="1:11">
      <c r="A627">
        <v>626</v>
      </c>
      <c r="B627" s="1">
        <v>45198</v>
      </c>
      <c r="C627" t="s">
        <v>639</v>
      </c>
      <c r="D627" t="s">
        <v>13</v>
      </c>
      <c r="E627" s="2">
        <v>26</v>
      </c>
      <c r="F627" t="s">
        <v>14</v>
      </c>
      <c r="G627" s="2">
        <v>4</v>
      </c>
      <c r="H627" s="3">
        <v>500</v>
      </c>
      <c r="I627" s="3">
        <v>2000</v>
      </c>
      <c r="J627" s="2" t="str">
        <f t="shared" si="9"/>
        <v>25–34</v>
      </c>
      <c r="K627" t="str" cm="1">
        <f t="array" ref="K627">_xlfn.IFS(
  OR(MONTH(B627)=12, MONTH(B627)=1, MONTH(B627)=2), "Winter",
  OR(MONTH(B627)=3, MONTH(B627)=4, MONTH(B627)=5), "Spring",
  OR(MONTH(B627)=6, MONTH(B627)=7, MONTH(B627)=8), "Summer",
  OR(MONTH(B627)=9, MONTH(B627)=10, MONTH(B627)=11), "Fall"
)</f>
        <v>Fall</v>
      </c>
    </row>
    <row r="628" spans="1:11">
      <c r="A628">
        <v>627</v>
      </c>
      <c r="B628" s="1">
        <v>45213</v>
      </c>
      <c r="C628" t="s">
        <v>640</v>
      </c>
      <c r="D628" t="s">
        <v>10</v>
      </c>
      <c r="E628" s="2">
        <v>57</v>
      </c>
      <c r="F628" t="s">
        <v>14</v>
      </c>
      <c r="G628" s="2">
        <v>1</v>
      </c>
      <c r="H628" s="3">
        <v>50</v>
      </c>
      <c r="I628" s="3">
        <v>50</v>
      </c>
      <c r="J628" s="2" t="str">
        <f t="shared" si="9"/>
        <v>55–64</v>
      </c>
      <c r="K628" t="str" cm="1">
        <f t="array" ref="K628">_xlfn.IFS(
  OR(MONTH(B628)=12, MONTH(B628)=1, MONTH(B628)=2), "Winter",
  OR(MONTH(B628)=3, MONTH(B628)=4, MONTH(B628)=5), "Spring",
  OR(MONTH(B628)=6, MONTH(B628)=7, MONTH(B628)=8), "Summer",
  OR(MONTH(B628)=9, MONTH(B628)=10, MONTH(B628)=11), "Fall"
)</f>
        <v>Fall</v>
      </c>
    </row>
    <row r="629" spans="1:11">
      <c r="A629">
        <v>628</v>
      </c>
      <c r="B629" s="1">
        <v>45231</v>
      </c>
      <c r="C629" t="s">
        <v>641</v>
      </c>
      <c r="D629" t="s">
        <v>13</v>
      </c>
      <c r="E629" s="2">
        <v>19</v>
      </c>
      <c r="F629" t="s">
        <v>11</v>
      </c>
      <c r="G629" s="2">
        <v>4</v>
      </c>
      <c r="H629" s="3">
        <v>50</v>
      </c>
      <c r="I629" s="3">
        <v>200</v>
      </c>
      <c r="J629" s="2" t="str">
        <f t="shared" si="9"/>
        <v>18–24</v>
      </c>
      <c r="K629" t="str" cm="1">
        <f t="array" ref="K629">_xlfn.IFS(
  OR(MONTH(B629)=12, MONTH(B629)=1, MONTH(B629)=2), "Winter",
  OR(MONTH(B629)=3, MONTH(B629)=4, MONTH(B629)=5), "Spring",
  OR(MONTH(B629)=6, MONTH(B629)=7, MONTH(B629)=8), "Summer",
  OR(MONTH(B629)=9, MONTH(B629)=10, MONTH(B629)=11), "Fall"
)</f>
        <v>Fall</v>
      </c>
    </row>
    <row r="630" spans="1:11">
      <c r="A630">
        <v>629</v>
      </c>
      <c r="B630" s="1">
        <v>45089</v>
      </c>
      <c r="C630" t="s">
        <v>642</v>
      </c>
      <c r="D630" t="s">
        <v>10</v>
      </c>
      <c r="E630" s="2">
        <v>62</v>
      </c>
      <c r="F630" t="s">
        <v>16</v>
      </c>
      <c r="G630" s="2">
        <v>2</v>
      </c>
      <c r="H630" s="3">
        <v>25</v>
      </c>
      <c r="I630" s="3">
        <v>50</v>
      </c>
      <c r="J630" s="2" t="str">
        <f t="shared" si="9"/>
        <v>55–64</v>
      </c>
      <c r="K630" t="str" cm="1">
        <f t="array" ref="K630">_xlfn.IFS(
  OR(MONTH(B630)=12, MONTH(B630)=1, MONTH(B630)=2), "Winter",
  OR(MONTH(B630)=3, MONTH(B630)=4, MONTH(B630)=5), "Spring",
  OR(MONTH(B630)=6, MONTH(B630)=7, MONTH(B630)=8), "Summer",
  OR(MONTH(B630)=9, MONTH(B630)=10, MONTH(B630)=11), "Fall"
)</f>
        <v>Summer</v>
      </c>
    </row>
    <row r="631" spans="1:11">
      <c r="A631">
        <v>630</v>
      </c>
      <c r="B631" s="1">
        <v>45153</v>
      </c>
      <c r="C631" t="s">
        <v>643</v>
      </c>
      <c r="D631" t="s">
        <v>10</v>
      </c>
      <c r="E631" s="2">
        <v>42</v>
      </c>
      <c r="F631" t="s">
        <v>14</v>
      </c>
      <c r="G631" s="2">
        <v>2</v>
      </c>
      <c r="H631" s="3">
        <v>50</v>
      </c>
      <c r="I631" s="3">
        <v>100</v>
      </c>
      <c r="J631" s="2" t="str">
        <f t="shared" si="9"/>
        <v>35–44</v>
      </c>
      <c r="K631" t="str" cm="1">
        <f t="array" ref="K631">_xlfn.IFS(
  OR(MONTH(B631)=12, MONTH(B631)=1, MONTH(B631)=2), "Winter",
  OR(MONTH(B631)=3, MONTH(B631)=4, MONTH(B631)=5), "Spring",
  OR(MONTH(B631)=6, MONTH(B631)=7, MONTH(B631)=8), "Summer",
  OR(MONTH(B631)=9, MONTH(B631)=10, MONTH(B631)=11), "Fall"
)</f>
        <v>Summer</v>
      </c>
    </row>
    <row r="632" spans="1:11">
      <c r="A632">
        <v>631</v>
      </c>
      <c r="B632" s="1">
        <v>45240</v>
      </c>
      <c r="C632" t="s">
        <v>644</v>
      </c>
      <c r="D632" t="s">
        <v>10</v>
      </c>
      <c r="E632" s="2">
        <v>56</v>
      </c>
      <c r="F632" t="s">
        <v>16</v>
      </c>
      <c r="G632" s="2">
        <v>3</v>
      </c>
      <c r="H632" s="3">
        <v>30</v>
      </c>
      <c r="I632" s="3">
        <v>90</v>
      </c>
      <c r="J632" s="2" t="str">
        <f t="shared" si="9"/>
        <v>55–64</v>
      </c>
      <c r="K632" t="str" cm="1">
        <f t="array" ref="K632">_xlfn.IFS(
  OR(MONTH(B632)=12, MONTH(B632)=1, MONTH(B632)=2), "Winter",
  OR(MONTH(B632)=3, MONTH(B632)=4, MONTH(B632)=5), "Spring",
  OR(MONTH(B632)=6, MONTH(B632)=7, MONTH(B632)=8), "Summer",
  OR(MONTH(B632)=9, MONTH(B632)=10, MONTH(B632)=11), "Fall"
)</f>
        <v>Fall</v>
      </c>
    </row>
    <row r="633" spans="1:11">
      <c r="A633">
        <v>632</v>
      </c>
      <c r="B633" s="1">
        <v>45185</v>
      </c>
      <c r="C633" t="s">
        <v>645</v>
      </c>
      <c r="D633" t="s">
        <v>13</v>
      </c>
      <c r="E633" s="2">
        <v>26</v>
      </c>
      <c r="F633" t="s">
        <v>16</v>
      </c>
      <c r="G633" s="2">
        <v>4</v>
      </c>
      <c r="H633" s="3">
        <v>25</v>
      </c>
      <c r="I633" s="3">
        <v>100</v>
      </c>
      <c r="J633" s="2" t="str">
        <f t="shared" si="9"/>
        <v>25–34</v>
      </c>
      <c r="K633" t="str" cm="1">
        <f t="array" ref="K633">_xlfn.IFS(
  OR(MONTH(B633)=12, MONTH(B633)=1, MONTH(B633)=2), "Winter",
  OR(MONTH(B633)=3, MONTH(B633)=4, MONTH(B633)=5), "Spring",
  OR(MONTH(B633)=6, MONTH(B633)=7, MONTH(B633)=8), "Summer",
  OR(MONTH(B633)=9, MONTH(B633)=10, MONTH(B633)=11), "Fall"
)</f>
        <v>Fall</v>
      </c>
    </row>
    <row r="634" spans="1:11">
      <c r="A634">
        <v>633</v>
      </c>
      <c r="B634" s="1">
        <v>45145</v>
      </c>
      <c r="C634" t="s">
        <v>646</v>
      </c>
      <c r="D634" t="s">
        <v>10</v>
      </c>
      <c r="E634" s="2">
        <v>39</v>
      </c>
      <c r="F634" t="s">
        <v>11</v>
      </c>
      <c r="G634" s="2">
        <v>4</v>
      </c>
      <c r="H634" s="3">
        <v>30</v>
      </c>
      <c r="I634" s="3">
        <v>120</v>
      </c>
      <c r="J634" s="2" t="str">
        <f t="shared" si="9"/>
        <v>35–44</v>
      </c>
      <c r="K634" t="str" cm="1">
        <f t="array" ref="K634">_xlfn.IFS(
  OR(MONTH(B634)=12, MONTH(B634)=1, MONTH(B634)=2), "Winter",
  OR(MONTH(B634)=3, MONTH(B634)=4, MONTH(B634)=5), "Spring",
  OR(MONTH(B634)=6, MONTH(B634)=7, MONTH(B634)=8), "Summer",
  OR(MONTH(B634)=9, MONTH(B634)=10, MONTH(B634)=11), "Fall"
)</f>
        <v>Summer</v>
      </c>
    </row>
    <row r="635" spans="1:11">
      <c r="A635">
        <v>634</v>
      </c>
      <c r="B635" s="1">
        <v>45207</v>
      </c>
      <c r="C635" t="s">
        <v>647</v>
      </c>
      <c r="D635" t="s">
        <v>10</v>
      </c>
      <c r="E635" s="2">
        <v>60</v>
      </c>
      <c r="F635" t="s">
        <v>16</v>
      </c>
      <c r="G635" s="2">
        <v>4</v>
      </c>
      <c r="H635" s="3">
        <v>500</v>
      </c>
      <c r="I635" s="3">
        <v>2000</v>
      </c>
      <c r="J635" s="2" t="str">
        <f t="shared" si="9"/>
        <v>55–64</v>
      </c>
      <c r="K635" t="str" cm="1">
        <f t="array" ref="K635">_xlfn.IFS(
  OR(MONTH(B635)=12, MONTH(B635)=1, MONTH(B635)=2), "Winter",
  OR(MONTH(B635)=3, MONTH(B635)=4, MONTH(B635)=5), "Spring",
  OR(MONTH(B635)=6, MONTH(B635)=7, MONTH(B635)=8), "Summer",
  OR(MONTH(B635)=9, MONTH(B635)=10, MONTH(B635)=11), "Fall"
)</f>
        <v>Fall</v>
      </c>
    </row>
    <row r="636" spans="1:11">
      <c r="A636">
        <v>635</v>
      </c>
      <c r="B636" s="1">
        <v>45155</v>
      </c>
      <c r="C636" t="s">
        <v>648</v>
      </c>
      <c r="D636" t="s">
        <v>13</v>
      </c>
      <c r="E636" s="2">
        <v>63</v>
      </c>
      <c r="F636" t="s">
        <v>16</v>
      </c>
      <c r="G636" s="2">
        <v>3</v>
      </c>
      <c r="H636" s="3">
        <v>300</v>
      </c>
      <c r="I636" s="3">
        <v>900</v>
      </c>
      <c r="J636" s="2" t="str">
        <f t="shared" si="9"/>
        <v>55–64</v>
      </c>
      <c r="K636" t="str" cm="1">
        <f t="array" ref="K636">_xlfn.IFS(
  OR(MONTH(B636)=12, MONTH(B636)=1, MONTH(B636)=2), "Winter",
  OR(MONTH(B636)=3, MONTH(B636)=4, MONTH(B636)=5), "Spring",
  OR(MONTH(B636)=6, MONTH(B636)=7, MONTH(B636)=8), "Summer",
  OR(MONTH(B636)=9, MONTH(B636)=10, MONTH(B636)=11), "Fall"
)</f>
        <v>Summer</v>
      </c>
    </row>
    <row r="637" spans="1:11">
      <c r="A637">
        <v>636</v>
      </c>
      <c r="B637" s="1">
        <v>45008</v>
      </c>
      <c r="C637" t="s">
        <v>649</v>
      </c>
      <c r="D637" t="s">
        <v>13</v>
      </c>
      <c r="E637" s="2">
        <v>21</v>
      </c>
      <c r="F637" t="s">
        <v>11</v>
      </c>
      <c r="G637" s="2">
        <v>3</v>
      </c>
      <c r="H637" s="3">
        <v>500</v>
      </c>
      <c r="I637" s="3">
        <v>1500</v>
      </c>
      <c r="J637" s="2" t="str">
        <f t="shared" si="9"/>
        <v>18–24</v>
      </c>
      <c r="K637" t="str" cm="1">
        <f t="array" ref="K637">_xlfn.IFS(
  OR(MONTH(B637)=12, MONTH(B637)=1, MONTH(B637)=2), "Winter",
  OR(MONTH(B637)=3, MONTH(B637)=4, MONTH(B637)=5), "Spring",
  OR(MONTH(B637)=6, MONTH(B637)=7, MONTH(B637)=8), "Summer",
  OR(MONTH(B637)=9, MONTH(B637)=10, MONTH(B637)=11), "Fall"
)</f>
        <v>Spring</v>
      </c>
    </row>
    <row r="638" spans="1:11">
      <c r="A638">
        <v>637</v>
      </c>
      <c r="B638" s="1">
        <v>45170</v>
      </c>
      <c r="C638" t="s">
        <v>650</v>
      </c>
      <c r="D638" t="s">
        <v>10</v>
      </c>
      <c r="E638" s="2">
        <v>43</v>
      </c>
      <c r="F638" t="s">
        <v>14</v>
      </c>
      <c r="G638" s="2">
        <v>2</v>
      </c>
      <c r="H638" s="3">
        <v>300</v>
      </c>
      <c r="I638" s="3">
        <v>600</v>
      </c>
      <c r="J638" s="2" t="str">
        <f t="shared" si="9"/>
        <v>35–44</v>
      </c>
      <c r="K638" t="str" cm="1">
        <f t="array" ref="K638">_xlfn.IFS(
  OR(MONTH(B638)=12, MONTH(B638)=1, MONTH(B638)=2), "Winter",
  OR(MONTH(B638)=3, MONTH(B638)=4, MONTH(B638)=5), "Spring",
  OR(MONTH(B638)=6, MONTH(B638)=7, MONTH(B638)=8), "Summer",
  OR(MONTH(B638)=9, MONTH(B638)=10, MONTH(B638)=11), "Fall"
)</f>
        <v>Fall</v>
      </c>
    </row>
    <row r="639" spans="1:11">
      <c r="A639">
        <v>638</v>
      </c>
      <c r="B639" s="1">
        <v>45157</v>
      </c>
      <c r="C639" t="s">
        <v>651</v>
      </c>
      <c r="D639" t="s">
        <v>10</v>
      </c>
      <c r="E639" s="2">
        <v>46</v>
      </c>
      <c r="F639" t="s">
        <v>16</v>
      </c>
      <c r="G639" s="2">
        <v>1</v>
      </c>
      <c r="H639" s="3">
        <v>500</v>
      </c>
      <c r="I639" s="3">
        <v>500</v>
      </c>
      <c r="J639" s="2" t="str">
        <f t="shared" si="9"/>
        <v>45–54</v>
      </c>
      <c r="K639" t="str" cm="1">
        <f t="array" ref="K639">_xlfn.IFS(
  OR(MONTH(B639)=12, MONTH(B639)=1, MONTH(B639)=2), "Winter",
  OR(MONTH(B639)=3, MONTH(B639)=4, MONTH(B639)=5), "Spring",
  OR(MONTH(B639)=6, MONTH(B639)=7, MONTH(B639)=8), "Summer",
  OR(MONTH(B639)=9, MONTH(B639)=10, MONTH(B639)=11), "Fall"
)</f>
        <v>Summer</v>
      </c>
    </row>
    <row r="640" spans="1:11">
      <c r="A640">
        <v>639</v>
      </c>
      <c r="B640" s="1">
        <v>45059</v>
      </c>
      <c r="C640" t="s">
        <v>652</v>
      </c>
      <c r="D640" t="s">
        <v>13</v>
      </c>
      <c r="E640" s="2">
        <v>62</v>
      </c>
      <c r="F640" t="s">
        <v>11</v>
      </c>
      <c r="G640" s="2">
        <v>4</v>
      </c>
      <c r="H640" s="3">
        <v>50</v>
      </c>
      <c r="I640" s="3">
        <v>200</v>
      </c>
      <c r="J640" s="2" t="str">
        <f t="shared" si="9"/>
        <v>55–64</v>
      </c>
      <c r="K640" t="str" cm="1">
        <f t="array" ref="K640">_xlfn.IFS(
  OR(MONTH(B640)=12, MONTH(B640)=1, MONTH(B640)=2), "Winter",
  OR(MONTH(B640)=3, MONTH(B640)=4, MONTH(B640)=5), "Spring",
  OR(MONTH(B640)=6, MONTH(B640)=7, MONTH(B640)=8), "Summer",
  OR(MONTH(B640)=9, MONTH(B640)=10, MONTH(B640)=11), "Fall"
)</f>
        <v>Spring</v>
      </c>
    </row>
    <row r="641" spans="1:11">
      <c r="A641">
        <v>640</v>
      </c>
      <c r="B641" s="1">
        <v>45053</v>
      </c>
      <c r="C641" t="s">
        <v>653</v>
      </c>
      <c r="D641" t="s">
        <v>13</v>
      </c>
      <c r="E641" s="2">
        <v>51</v>
      </c>
      <c r="F641" t="s">
        <v>16</v>
      </c>
      <c r="G641" s="2">
        <v>4</v>
      </c>
      <c r="H641" s="3">
        <v>30</v>
      </c>
      <c r="I641" s="3">
        <v>120</v>
      </c>
      <c r="J641" s="2" t="str">
        <f t="shared" si="9"/>
        <v>45–54</v>
      </c>
      <c r="K641" t="str" cm="1">
        <f t="array" ref="K641">_xlfn.IFS(
  OR(MONTH(B641)=12, MONTH(B641)=1, MONTH(B641)=2), "Winter",
  OR(MONTH(B641)=3, MONTH(B641)=4, MONTH(B641)=5), "Spring",
  OR(MONTH(B641)=6, MONTH(B641)=7, MONTH(B641)=8), "Summer",
  OR(MONTH(B641)=9, MONTH(B641)=10, MONTH(B641)=11), "Fall"
)</f>
        <v>Spring</v>
      </c>
    </row>
    <row r="642" spans="1:11">
      <c r="A642">
        <v>641</v>
      </c>
      <c r="B642" s="1">
        <v>45253</v>
      </c>
      <c r="C642" t="s">
        <v>654</v>
      </c>
      <c r="D642" t="s">
        <v>13</v>
      </c>
      <c r="E642" s="2">
        <v>40</v>
      </c>
      <c r="F642" t="s">
        <v>16</v>
      </c>
      <c r="G642" s="2">
        <v>1</v>
      </c>
      <c r="H642" s="3">
        <v>300</v>
      </c>
      <c r="I642" s="3">
        <v>300</v>
      </c>
      <c r="J642" s="2" t="str">
        <f t="shared" ref="J642:J705" si="10">IF(AND(E642&gt;=18, E642&lt;=24), "18–24",
 IF(AND(E642&gt;=25, E642&lt;=34), "25–34",
 IF(AND(E642&gt;=35, E642&lt;=44), "35–44",
 IF(AND(E642&gt;=45, E642&lt;=54), "45–54",
 IF(AND(E642&gt;=55, E642&lt;=64), "55–64", "Other")))))</f>
        <v>35–44</v>
      </c>
      <c r="K642" t="str" cm="1">
        <f t="array" ref="K642">_xlfn.IFS(
  OR(MONTH(B642)=12, MONTH(B642)=1, MONTH(B642)=2), "Winter",
  OR(MONTH(B642)=3, MONTH(B642)=4, MONTH(B642)=5), "Spring",
  OR(MONTH(B642)=6, MONTH(B642)=7, MONTH(B642)=8), "Summer",
  OR(MONTH(B642)=9, MONTH(B642)=10, MONTH(B642)=11), "Fall"
)</f>
        <v>Fall</v>
      </c>
    </row>
    <row r="643" spans="1:11">
      <c r="A643">
        <v>642</v>
      </c>
      <c r="B643" s="1">
        <v>45068</v>
      </c>
      <c r="C643" t="s">
        <v>655</v>
      </c>
      <c r="D643" t="s">
        <v>13</v>
      </c>
      <c r="E643" s="2">
        <v>54</v>
      </c>
      <c r="F643" t="s">
        <v>14</v>
      </c>
      <c r="G643" s="2">
        <v>4</v>
      </c>
      <c r="H643" s="3">
        <v>25</v>
      </c>
      <c r="I643" s="3">
        <v>100</v>
      </c>
      <c r="J643" s="2" t="str">
        <f t="shared" si="10"/>
        <v>45–54</v>
      </c>
      <c r="K643" t="str" cm="1">
        <f t="array" ref="K643">_xlfn.IFS(
  OR(MONTH(B643)=12, MONTH(B643)=1, MONTH(B643)=2), "Winter",
  OR(MONTH(B643)=3, MONTH(B643)=4, MONTH(B643)=5), "Spring",
  OR(MONTH(B643)=6, MONTH(B643)=7, MONTH(B643)=8), "Summer",
  OR(MONTH(B643)=9, MONTH(B643)=10, MONTH(B643)=11), "Fall"
)</f>
        <v>Spring</v>
      </c>
    </row>
    <row r="644" spans="1:11">
      <c r="A644">
        <v>643</v>
      </c>
      <c r="B644" s="1">
        <v>45193</v>
      </c>
      <c r="C644" t="s">
        <v>656</v>
      </c>
      <c r="D644" t="s">
        <v>13</v>
      </c>
      <c r="E644" s="2">
        <v>28</v>
      </c>
      <c r="F644" t="s">
        <v>16</v>
      </c>
      <c r="G644" s="2">
        <v>3</v>
      </c>
      <c r="H644" s="3">
        <v>30</v>
      </c>
      <c r="I644" s="3">
        <v>90</v>
      </c>
      <c r="J644" s="2" t="str">
        <f t="shared" si="10"/>
        <v>25–34</v>
      </c>
      <c r="K644" t="str" cm="1">
        <f t="array" ref="K644">_xlfn.IFS(
  OR(MONTH(B644)=12, MONTH(B644)=1, MONTH(B644)=2), "Winter",
  OR(MONTH(B644)=3, MONTH(B644)=4, MONTH(B644)=5), "Spring",
  OR(MONTH(B644)=6, MONTH(B644)=7, MONTH(B644)=8), "Summer",
  OR(MONTH(B644)=9, MONTH(B644)=10, MONTH(B644)=11), "Fall"
)</f>
        <v>Fall</v>
      </c>
    </row>
    <row r="645" spans="1:11">
      <c r="A645">
        <v>644</v>
      </c>
      <c r="B645" s="1">
        <v>45175</v>
      </c>
      <c r="C645" t="s">
        <v>657</v>
      </c>
      <c r="D645" t="s">
        <v>10</v>
      </c>
      <c r="E645" s="2">
        <v>23</v>
      </c>
      <c r="F645" t="s">
        <v>11</v>
      </c>
      <c r="G645" s="2">
        <v>3</v>
      </c>
      <c r="H645" s="3">
        <v>25</v>
      </c>
      <c r="I645" s="3">
        <v>75</v>
      </c>
      <c r="J645" s="2" t="str">
        <f t="shared" si="10"/>
        <v>18–24</v>
      </c>
      <c r="K645" t="str" cm="1">
        <f t="array" ref="K645">_xlfn.IFS(
  OR(MONTH(B645)=12, MONTH(B645)=1, MONTH(B645)=2), "Winter",
  OR(MONTH(B645)=3, MONTH(B645)=4, MONTH(B645)=5), "Spring",
  OR(MONTH(B645)=6, MONTH(B645)=7, MONTH(B645)=8), "Summer",
  OR(MONTH(B645)=9, MONTH(B645)=10, MONTH(B645)=11), "Fall"
)</f>
        <v>Fall</v>
      </c>
    </row>
    <row r="646" spans="1:11">
      <c r="A646">
        <v>645</v>
      </c>
      <c r="B646" s="1">
        <v>45247</v>
      </c>
      <c r="C646" t="s">
        <v>658</v>
      </c>
      <c r="D646" t="s">
        <v>13</v>
      </c>
      <c r="E646" s="2">
        <v>35</v>
      </c>
      <c r="F646" t="s">
        <v>16</v>
      </c>
      <c r="G646" s="2">
        <v>4</v>
      </c>
      <c r="H646" s="3">
        <v>30</v>
      </c>
      <c r="I646" s="3">
        <v>120</v>
      </c>
      <c r="J646" s="2" t="str">
        <f t="shared" si="10"/>
        <v>35–44</v>
      </c>
      <c r="K646" t="str" cm="1">
        <f t="array" ref="K646">_xlfn.IFS(
  OR(MONTH(B646)=12, MONTH(B646)=1, MONTH(B646)=2), "Winter",
  OR(MONTH(B646)=3, MONTH(B646)=4, MONTH(B646)=5), "Spring",
  OR(MONTH(B646)=6, MONTH(B646)=7, MONTH(B646)=8), "Summer",
  OR(MONTH(B646)=9, MONTH(B646)=10, MONTH(B646)=11), "Fall"
)</f>
        <v>Fall</v>
      </c>
    </row>
    <row r="647" spans="1:11">
      <c r="A647">
        <v>646</v>
      </c>
      <c r="B647" s="1">
        <v>45049</v>
      </c>
      <c r="C647" t="s">
        <v>659</v>
      </c>
      <c r="D647" t="s">
        <v>10</v>
      </c>
      <c r="E647" s="2">
        <v>38</v>
      </c>
      <c r="F647" t="s">
        <v>14</v>
      </c>
      <c r="G647" s="2">
        <v>3</v>
      </c>
      <c r="H647" s="3">
        <v>30</v>
      </c>
      <c r="I647" s="3">
        <v>90</v>
      </c>
      <c r="J647" s="2" t="str">
        <f t="shared" si="10"/>
        <v>35–44</v>
      </c>
      <c r="K647" t="str" cm="1">
        <f t="array" ref="K647">_xlfn.IFS(
  OR(MONTH(B647)=12, MONTH(B647)=1, MONTH(B647)=2), "Winter",
  OR(MONTH(B647)=3, MONTH(B647)=4, MONTH(B647)=5), "Spring",
  OR(MONTH(B647)=6, MONTH(B647)=7, MONTH(B647)=8), "Summer",
  OR(MONTH(B647)=9, MONTH(B647)=10, MONTH(B647)=11), "Fall"
)</f>
        <v>Spring</v>
      </c>
    </row>
    <row r="648" spans="1:11">
      <c r="A648">
        <v>647</v>
      </c>
      <c r="B648" s="1">
        <v>45067</v>
      </c>
      <c r="C648" t="s">
        <v>660</v>
      </c>
      <c r="D648" t="s">
        <v>10</v>
      </c>
      <c r="E648" s="2">
        <v>59</v>
      </c>
      <c r="F648" t="s">
        <v>14</v>
      </c>
      <c r="G648" s="2">
        <v>3</v>
      </c>
      <c r="H648" s="3">
        <v>500</v>
      </c>
      <c r="I648" s="3">
        <v>1500</v>
      </c>
      <c r="J648" s="2" t="str">
        <f t="shared" si="10"/>
        <v>55–64</v>
      </c>
      <c r="K648" t="str" cm="1">
        <f t="array" ref="K648">_xlfn.IFS(
  OR(MONTH(B648)=12, MONTH(B648)=1, MONTH(B648)=2), "Winter",
  OR(MONTH(B648)=3, MONTH(B648)=4, MONTH(B648)=5), "Spring",
  OR(MONTH(B648)=6, MONTH(B648)=7, MONTH(B648)=8), "Summer",
  OR(MONTH(B648)=9, MONTH(B648)=10, MONTH(B648)=11), "Fall"
)</f>
        <v>Spring</v>
      </c>
    </row>
    <row r="649" spans="1:11">
      <c r="A649">
        <v>648</v>
      </c>
      <c r="B649" s="1">
        <v>45152</v>
      </c>
      <c r="C649" t="s">
        <v>661</v>
      </c>
      <c r="D649" t="s">
        <v>10</v>
      </c>
      <c r="E649" s="2">
        <v>53</v>
      </c>
      <c r="F649" t="s">
        <v>11</v>
      </c>
      <c r="G649" s="2">
        <v>4</v>
      </c>
      <c r="H649" s="3">
        <v>300</v>
      </c>
      <c r="I649" s="3">
        <v>1200</v>
      </c>
      <c r="J649" s="2" t="str">
        <f t="shared" si="10"/>
        <v>45–54</v>
      </c>
      <c r="K649" t="str" cm="1">
        <f t="array" ref="K649">_xlfn.IFS(
  OR(MONTH(B649)=12, MONTH(B649)=1, MONTH(B649)=2), "Winter",
  OR(MONTH(B649)=3, MONTH(B649)=4, MONTH(B649)=5), "Spring",
  OR(MONTH(B649)=6, MONTH(B649)=7, MONTH(B649)=8), "Summer",
  OR(MONTH(B649)=9, MONTH(B649)=10, MONTH(B649)=11), "Fall"
)</f>
        <v>Summer</v>
      </c>
    </row>
    <row r="650" spans="1:11">
      <c r="A650">
        <v>649</v>
      </c>
      <c r="B650" s="1">
        <v>44966</v>
      </c>
      <c r="C650" t="s">
        <v>662</v>
      </c>
      <c r="D650" t="s">
        <v>13</v>
      </c>
      <c r="E650" s="2">
        <v>58</v>
      </c>
      <c r="F650" t="s">
        <v>14</v>
      </c>
      <c r="G650" s="2">
        <v>2</v>
      </c>
      <c r="H650" s="3">
        <v>300</v>
      </c>
      <c r="I650" s="3">
        <v>600</v>
      </c>
      <c r="J650" s="2" t="str">
        <f t="shared" si="10"/>
        <v>55–64</v>
      </c>
      <c r="K650" t="str" cm="1">
        <f t="array" ref="K650">_xlfn.IFS(
  OR(MONTH(B650)=12, MONTH(B650)=1, MONTH(B650)=2), "Winter",
  OR(MONTH(B650)=3, MONTH(B650)=4, MONTH(B650)=5), "Spring",
  OR(MONTH(B650)=6, MONTH(B650)=7, MONTH(B650)=8), "Summer",
  OR(MONTH(B650)=9, MONTH(B650)=10, MONTH(B650)=11), "Fall"
)</f>
        <v>Winter</v>
      </c>
    </row>
    <row r="651" spans="1:11">
      <c r="A651">
        <v>650</v>
      </c>
      <c r="B651" s="1">
        <v>45292</v>
      </c>
      <c r="C651" t="s">
        <v>663</v>
      </c>
      <c r="D651" t="s">
        <v>10</v>
      </c>
      <c r="E651" s="2">
        <v>55</v>
      </c>
      <c r="F651" t="s">
        <v>16</v>
      </c>
      <c r="G651" s="2">
        <v>1</v>
      </c>
      <c r="H651" s="3">
        <v>30</v>
      </c>
      <c r="I651" s="3">
        <v>30</v>
      </c>
      <c r="J651" s="2" t="str">
        <f t="shared" si="10"/>
        <v>55–64</v>
      </c>
      <c r="K651" t="str" cm="1">
        <f t="array" ref="K651">_xlfn.IFS(
  OR(MONTH(B651)=12, MONTH(B651)=1, MONTH(B651)=2), "Winter",
  OR(MONTH(B651)=3, MONTH(B651)=4, MONTH(B651)=5), "Spring",
  OR(MONTH(B651)=6, MONTH(B651)=7, MONTH(B651)=8), "Summer",
  OR(MONTH(B651)=9, MONTH(B651)=10, MONTH(B651)=11), "Fall"
)</f>
        <v>Winter</v>
      </c>
    </row>
    <row r="652" spans="1:11">
      <c r="A652">
        <v>651</v>
      </c>
      <c r="B652" s="1">
        <v>45073</v>
      </c>
      <c r="C652" t="s">
        <v>664</v>
      </c>
      <c r="D652" t="s">
        <v>10</v>
      </c>
      <c r="E652" s="2">
        <v>51</v>
      </c>
      <c r="F652" t="s">
        <v>14</v>
      </c>
      <c r="G652" s="2">
        <v>3</v>
      </c>
      <c r="H652" s="3">
        <v>50</v>
      </c>
      <c r="I652" s="3">
        <v>150</v>
      </c>
      <c r="J652" s="2" t="str">
        <f t="shared" si="10"/>
        <v>45–54</v>
      </c>
      <c r="K652" t="str" cm="1">
        <f t="array" ref="K652">_xlfn.IFS(
  OR(MONTH(B652)=12, MONTH(B652)=1, MONTH(B652)=2), "Winter",
  OR(MONTH(B652)=3, MONTH(B652)=4, MONTH(B652)=5), "Spring",
  OR(MONTH(B652)=6, MONTH(B652)=7, MONTH(B652)=8), "Summer",
  OR(MONTH(B652)=9, MONTH(B652)=10, MONTH(B652)=11), "Fall"
)</f>
        <v>Spring</v>
      </c>
    </row>
    <row r="653" spans="1:11">
      <c r="A653">
        <v>652</v>
      </c>
      <c r="B653" s="1">
        <v>45047</v>
      </c>
      <c r="C653" t="s">
        <v>665</v>
      </c>
      <c r="D653" t="s">
        <v>13</v>
      </c>
      <c r="E653" s="2">
        <v>34</v>
      </c>
      <c r="F653" t="s">
        <v>11</v>
      </c>
      <c r="G653" s="2">
        <v>2</v>
      </c>
      <c r="H653" s="3">
        <v>50</v>
      </c>
      <c r="I653" s="3">
        <v>100</v>
      </c>
      <c r="J653" s="2" t="str">
        <f t="shared" si="10"/>
        <v>25–34</v>
      </c>
      <c r="K653" t="str" cm="1">
        <f t="array" ref="K653">_xlfn.IFS(
  OR(MONTH(B653)=12, MONTH(B653)=1, MONTH(B653)=2), "Winter",
  OR(MONTH(B653)=3, MONTH(B653)=4, MONTH(B653)=5), "Spring",
  OR(MONTH(B653)=6, MONTH(B653)=7, MONTH(B653)=8), "Summer",
  OR(MONTH(B653)=9, MONTH(B653)=10, MONTH(B653)=11), "Fall"
)</f>
        <v>Spring</v>
      </c>
    </row>
    <row r="654" spans="1:11">
      <c r="A654">
        <v>653</v>
      </c>
      <c r="B654" s="1">
        <v>45066</v>
      </c>
      <c r="C654" t="s">
        <v>666</v>
      </c>
      <c r="D654" t="s">
        <v>10</v>
      </c>
      <c r="E654" s="2">
        <v>54</v>
      </c>
      <c r="F654" t="s">
        <v>14</v>
      </c>
      <c r="G654" s="2">
        <v>3</v>
      </c>
      <c r="H654" s="3">
        <v>25</v>
      </c>
      <c r="I654" s="3">
        <v>75</v>
      </c>
      <c r="J654" s="2" t="str">
        <f t="shared" si="10"/>
        <v>45–54</v>
      </c>
      <c r="K654" t="str" cm="1">
        <f t="array" ref="K654">_xlfn.IFS(
  OR(MONTH(B654)=12, MONTH(B654)=1, MONTH(B654)=2), "Winter",
  OR(MONTH(B654)=3, MONTH(B654)=4, MONTH(B654)=5), "Spring",
  OR(MONTH(B654)=6, MONTH(B654)=7, MONTH(B654)=8), "Summer",
  OR(MONTH(B654)=9, MONTH(B654)=10, MONTH(B654)=11), "Fall"
)</f>
        <v>Spring</v>
      </c>
    </row>
    <row r="655" spans="1:11">
      <c r="A655">
        <v>654</v>
      </c>
      <c r="B655" s="1">
        <v>45098</v>
      </c>
      <c r="C655" t="s">
        <v>667</v>
      </c>
      <c r="D655" t="s">
        <v>10</v>
      </c>
      <c r="E655" s="2">
        <v>42</v>
      </c>
      <c r="F655" t="s">
        <v>14</v>
      </c>
      <c r="G655" s="2">
        <v>3</v>
      </c>
      <c r="H655" s="3">
        <v>25</v>
      </c>
      <c r="I655" s="3">
        <v>75</v>
      </c>
      <c r="J655" s="2" t="str">
        <f t="shared" si="10"/>
        <v>35–44</v>
      </c>
      <c r="K655" t="str" cm="1">
        <f t="array" ref="K655">_xlfn.IFS(
  OR(MONTH(B655)=12, MONTH(B655)=1, MONTH(B655)=2), "Winter",
  OR(MONTH(B655)=3, MONTH(B655)=4, MONTH(B655)=5), "Spring",
  OR(MONTH(B655)=6, MONTH(B655)=7, MONTH(B655)=8), "Summer",
  OR(MONTH(B655)=9, MONTH(B655)=10, MONTH(B655)=11), "Fall"
)</f>
        <v>Summer</v>
      </c>
    </row>
    <row r="656" spans="1:11">
      <c r="A656">
        <v>655</v>
      </c>
      <c r="B656" s="1">
        <v>45090</v>
      </c>
      <c r="C656" t="s">
        <v>668</v>
      </c>
      <c r="D656" t="s">
        <v>13</v>
      </c>
      <c r="E656" s="2">
        <v>55</v>
      </c>
      <c r="F656" t="s">
        <v>14</v>
      </c>
      <c r="G656" s="2">
        <v>1</v>
      </c>
      <c r="H656" s="3">
        <v>500</v>
      </c>
      <c r="I656" s="3">
        <v>500</v>
      </c>
      <c r="J656" s="2" t="str">
        <f t="shared" si="10"/>
        <v>55–64</v>
      </c>
      <c r="K656" t="str" cm="1">
        <f t="array" ref="K656">_xlfn.IFS(
  OR(MONTH(B656)=12, MONTH(B656)=1, MONTH(B656)=2), "Winter",
  OR(MONTH(B656)=3, MONTH(B656)=4, MONTH(B656)=5), "Spring",
  OR(MONTH(B656)=6, MONTH(B656)=7, MONTH(B656)=8), "Summer",
  OR(MONTH(B656)=9, MONTH(B656)=10, MONTH(B656)=11), "Fall"
)</f>
        <v>Summer</v>
      </c>
    </row>
    <row r="657" spans="1:11">
      <c r="A657">
        <v>656</v>
      </c>
      <c r="B657" s="1">
        <v>45203</v>
      </c>
      <c r="C657" t="s">
        <v>669</v>
      </c>
      <c r="D657" t="s">
        <v>10</v>
      </c>
      <c r="E657" s="2">
        <v>29</v>
      </c>
      <c r="F657" t="s">
        <v>11</v>
      </c>
      <c r="G657" s="2">
        <v>3</v>
      </c>
      <c r="H657" s="3">
        <v>30</v>
      </c>
      <c r="I657" s="3">
        <v>90</v>
      </c>
      <c r="J657" s="2" t="str">
        <f t="shared" si="10"/>
        <v>25–34</v>
      </c>
      <c r="K657" t="str" cm="1">
        <f t="array" ref="K657">_xlfn.IFS(
  OR(MONTH(B657)=12, MONTH(B657)=1, MONTH(B657)=2), "Winter",
  OR(MONTH(B657)=3, MONTH(B657)=4, MONTH(B657)=5), "Spring",
  OR(MONTH(B657)=6, MONTH(B657)=7, MONTH(B657)=8), "Summer",
  OR(MONTH(B657)=9, MONTH(B657)=10, MONTH(B657)=11), "Fall"
)</f>
        <v>Fall</v>
      </c>
    </row>
    <row r="658" spans="1:11">
      <c r="A658">
        <v>657</v>
      </c>
      <c r="B658" s="1">
        <v>44968</v>
      </c>
      <c r="C658" t="s">
        <v>670</v>
      </c>
      <c r="D658" t="s">
        <v>10</v>
      </c>
      <c r="E658" s="2">
        <v>40</v>
      </c>
      <c r="F658" t="s">
        <v>14</v>
      </c>
      <c r="G658" s="2">
        <v>1</v>
      </c>
      <c r="H658" s="3">
        <v>25</v>
      </c>
      <c r="I658" s="3">
        <v>25</v>
      </c>
      <c r="J658" s="2" t="str">
        <f t="shared" si="10"/>
        <v>35–44</v>
      </c>
      <c r="K658" t="str" cm="1">
        <f t="array" ref="K658">_xlfn.IFS(
  OR(MONTH(B658)=12, MONTH(B658)=1, MONTH(B658)=2), "Winter",
  OR(MONTH(B658)=3, MONTH(B658)=4, MONTH(B658)=5), "Spring",
  OR(MONTH(B658)=6, MONTH(B658)=7, MONTH(B658)=8), "Summer",
  OR(MONTH(B658)=9, MONTH(B658)=10, MONTH(B658)=11), "Fall"
)</f>
        <v>Winter</v>
      </c>
    </row>
    <row r="659" spans="1:11">
      <c r="A659">
        <v>658</v>
      </c>
      <c r="B659" s="1">
        <v>44997</v>
      </c>
      <c r="C659" t="s">
        <v>671</v>
      </c>
      <c r="D659" t="s">
        <v>10</v>
      </c>
      <c r="E659" s="2">
        <v>59</v>
      </c>
      <c r="F659" t="s">
        <v>14</v>
      </c>
      <c r="G659" s="2">
        <v>1</v>
      </c>
      <c r="H659" s="3">
        <v>25</v>
      </c>
      <c r="I659" s="3">
        <v>25</v>
      </c>
      <c r="J659" s="2" t="str">
        <f t="shared" si="10"/>
        <v>55–64</v>
      </c>
      <c r="K659" t="str" cm="1">
        <f t="array" ref="K659">_xlfn.IFS(
  OR(MONTH(B659)=12, MONTH(B659)=1, MONTH(B659)=2), "Winter",
  OR(MONTH(B659)=3, MONTH(B659)=4, MONTH(B659)=5), "Spring",
  OR(MONTH(B659)=6, MONTH(B659)=7, MONTH(B659)=8), "Summer",
  OR(MONTH(B659)=9, MONTH(B659)=10, MONTH(B659)=11), "Fall"
)</f>
        <v>Spring</v>
      </c>
    </row>
    <row r="660" spans="1:11">
      <c r="A660">
        <v>659</v>
      </c>
      <c r="B660" s="1">
        <v>45004</v>
      </c>
      <c r="C660" t="s">
        <v>672</v>
      </c>
      <c r="D660" t="s">
        <v>13</v>
      </c>
      <c r="E660" s="2">
        <v>39</v>
      </c>
      <c r="F660" t="s">
        <v>16</v>
      </c>
      <c r="G660" s="2">
        <v>1</v>
      </c>
      <c r="H660" s="3">
        <v>30</v>
      </c>
      <c r="I660" s="3">
        <v>30</v>
      </c>
      <c r="J660" s="2" t="str">
        <f t="shared" si="10"/>
        <v>35–44</v>
      </c>
      <c r="K660" t="str" cm="1">
        <f t="array" ref="K660">_xlfn.IFS(
  OR(MONTH(B660)=12, MONTH(B660)=1, MONTH(B660)=2), "Winter",
  OR(MONTH(B660)=3, MONTH(B660)=4, MONTH(B660)=5), "Spring",
  OR(MONTH(B660)=6, MONTH(B660)=7, MONTH(B660)=8), "Summer",
  OR(MONTH(B660)=9, MONTH(B660)=10, MONTH(B660)=11), "Fall"
)</f>
        <v>Spring</v>
      </c>
    </row>
    <row r="661" spans="1:11">
      <c r="A661">
        <v>660</v>
      </c>
      <c r="B661" s="1">
        <v>45045</v>
      </c>
      <c r="C661" t="s">
        <v>673</v>
      </c>
      <c r="D661" t="s">
        <v>13</v>
      </c>
      <c r="E661" s="2">
        <v>38</v>
      </c>
      <c r="F661" t="s">
        <v>11</v>
      </c>
      <c r="G661" s="2">
        <v>2</v>
      </c>
      <c r="H661" s="3">
        <v>500</v>
      </c>
      <c r="I661" s="3">
        <v>1000</v>
      </c>
      <c r="J661" s="2" t="str">
        <f t="shared" si="10"/>
        <v>35–44</v>
      </c>
      <c r="K661" t="str" cm="1">
        <f t="array" ref="K661">_xlfn.IFS(
  OR(MONTH(B661)=12, MONTH(B661)=1, MONTH(B661)=2), "Winter",
  OR(MONTH(B661)=3, MONTH(B661)=4, MONTH(B661)=5), "Spring",
  OR(MONTH(B661)=6, MONTH(B661)=7, MONTH(B661)=8), "Summer",
  OR(MONTH(B661)=9, MONTH(B661)=10, MONTH(B661)=11), "Fall"
)</f>
        <v>Spring</v>
      </c>
    </row>
    <row r="662" spans="1:11">
      <c r="A662">
        <v>661</v>
      </c>
      <c r="B662" s="1">
        <v>45123</v>
      </c>
      <c r="C662" t="s">
        <v>674</v>
      </c>
      <c r="D662" t="s">
        <v>13</v>
      </c>
      <c r="E662" s="2">
        <v>44</v>
      </c>
      <c r="F662" t="s">
        <v>14</v>
      </c>
      <c r="G662" s="2">
        <v>4</v>
      </c>
      <c r="H662" s="3">
        <v>25</v>
      </c>
      <c r="I662" s="3">
        <v>100</v>
      </c>
      <c r="J662" s="2" t="str">
        <f t="shared" si="10"/>
        <v>35–44</v>
      </c>
      <c r="K662" t="str" cm="1">
        <f t="array" ref="K662">_xlfn.IFS(
  OR(MONTH(B662)=12, MONTH(B662)=1, MONTH(B662)=2), "Winter",
  OR(MONTH(B662)=3, MONTH(B662)=4, MONTH(B662)=5), "Spring",
  OR(MONTH(B662)=6, MONTH(B662)=7, MONTH(B662)=8), "Summer",
  OR(MONTH(B662)=9, MONTH(B662)=10, MONTH(B662)=11), "Fall"
)</f>
        <v>Summer</v>
      </c>
    </row>
    <row r="663" spans="1:11">
      <c r="A663">
        <v>662</v>
      </c>
      <c r="B663" s="1">
        <v>45282</v>
      </c>
      <c r="C663" t="s">
        <v>675</v>
      </c>
      <c r="D663" t="s">
        <v>10</v>
      </c>
      <c r="E663" s="2">
        <v>48</v>
      </c>
      <c r="F663" t="s">
        <v>11</v>
      </c>
      <c r="G663" s="2">
        <v>2</v>
      </c>
      <c r="H663" s="3">
        <v>500</v>
      </c>
      <c r="I663" s="3">
        <v>1000</v>
      </c>
      <c r="J663" s="2" t="str">
        <f t="shared" si="10"/>
        <v>45–54</v>
      </c>
      <c r="K663" t="str" cm="1">
        <f t="array" ref="K663">_xlfn.IFS(
  OR(MONTH(B663)=12, MONTH(B663)=1, MONTH(B663)=2), "Winter",
  OR(MONTH(B663)=3, MONTH(B663)=4, MONTH(B663)=5), "Spring",
  OR(MONTH(B663)=6, MONTH(B663)=7, MONTH(B663)=8), "Summer",
  OR(MONTH(B663)=9, MONTH(B663)=10, MONTH(B663)=11), "Fall"
)</f>
        <v>Winter</v>
      </c>
    </row>
    <row r="664" spans="1:11">
      <c r="A664">
        <v>663</v>
      </c>
      <c r="B664" s="1">
        <v>45005</v>
      </c>
      <c r="C664" t="s">
        <v>676</v>
      </c>
      <c r="D664" t="s">
        <v>10</v>
      </c>
      <c r="E664" s="2">
        <v>23</v>
      </c>
      <c r="F664" t="s">
        <v>14</v>
      </c>
      <c r="G664" s="2">
        <v>4</v>
      </c>
      <c r="H664" s="3">
        <v>300</v>
      </c>
      <c r="I664" s="3">
        <v>1200</v>
      </c>
      <c r="J664" s="2" t="str">
        <f t="shared" si="10"/>
        <v>18–24</v>
      </c>
      <c r="K664" t="str" cm="1">
        <f t="array" ref="K664">_xlfn.IFS(
  OR(MONTH(B664)=12, MONTH(B664)=1, MONTH(B664)=2), "Winter",
  OR(MONTH(B664)=3, MONTH(B664)=4, MONTH(B664)=5), "Spring",
  OR(MONTH(B664)=6, MONTH(B664)=7, MONTH(B664)=8), "Summer",
  OR(MONTH(B664)=9, MONTH(B664)=10, MONTH(B664)=11), "Fall"
)</f>
        <v>Spring</v>
      </c>
    </row>
    <row r="665" spans="1:11">
      <c r="A665">
        <v>664</v>
      </c>
      <c r="B665" s="1">
        <v>45288</v>
      </c>
      <c r="C665" t="s">
        <v>677</v>
      </c>
      <c r="D665" t="s">
        <v>13</v>
      </c>
      <c r="E665" s="2">
        <v>44</v>
      </c>
      <c r="F665" t="s">
        <v>14</v>
      </c>
      <c r="G665" s="2">
        <v>4</v>
      </c>
      <c r="H665" s="3">
        <v>500</v>
      </c>
      <c r="I665" s="3">
        <v>2000</v>
      </c>
      <c r="J665" s="2" t="str">
        <f t="shared" si="10"/>
        <v>35–44</v>
      </c>
      <c r="K665" t="str" cm="1">
        <f t="array" ref="K665">_xlfn.IFS(
  OR(MONTH(B665)=12, MONTH(B665)=1, MONTH(B665)=2), "Winter",
  OR(MONTH(B665)=3, MONTH(B665)=4, MONTH(B665)=5), "Spring",
  OR(MONTH(B665)=6, MONTH(B665)=7, MONTH(B665)=8), "Summer",
  OR(MONTH(B665)=9, MONTH(B665)=10, MONTH(B665)=11), "Fall"
)</f>
        <v>Winter</v>
      </c>
    </row>
    <row r="666" spans="1:11">
      <c r="A666">
        <v>665</v>
      </c>
      <c r="B666" s="1">
        <v>45036</v>
      </c>
      <c r="C666" t="s">
        <v>678</v>
      </c>
      <c r="D666" t="s">
        <v>10</v>
      </c>
      <c r="E666" s="2">
        <v>57</v>
      </c>
      <c r="F666" t="s">
        <v>14</v>
      </c>
      <c r="G666" s="2">
        <v>1</v>
      </c>
      <c r="H666" s="3">
        <v>50</v>
      </c>
      <c r="I666" s="3">
        <v>50</v>
      </c>
      <c r="J666" s="2" t="str">
        <f t="shared" si="10"/>
        <v>55–64</v>
      </c>
      <c r="K666" t="str" cm="1">
        <f t="array" ref="K666">_xlfn.IFS(
  OR(MONTH(B666)=12, MONTH(B666)=1, MONTH(B666)=2), "Winter",
  OR(MONTH(B666)=3, MONTH(B666)=4, MONTH(B666)=5), "Spring",
  OR(MONTH(B666)=6, MONTH(B666)=7, MONTH(B666)=8), "Summer",
  OR(MONTH(B666)=9, MONTH(B666)=10, MONTH(B666)=11), "Fall"
)</f>
        <v>Spring</v>
      </c>
    </row>
    <row r="667" spans="1:11">
      <c r="A667">
        <v>666</v>
      </c>
      <c r="B667" s="1">
        <v>44959</v>
      </c>
      <c r="C667" t="s">
        <v>679</v>
      </c>
      <c r="D667" t="s">
        <v>10</v>
      </c>
      <c r="E667" s="2">
        <v>51</v>
      </c>
      <c r="F667" t="s">
        <v>16</v>
      </c>
      <c r="G667" s="2">
        <v>3</v>
      </c>
      <c r="H667" s="3">
        <v>50</v>
      </c>
      <c r="I667" s="3">
        <v>150</v>
      </c>
      <c r="J667" s="2" t="str">
        <f t="shared" si="10"/>
        <v>45–54</v>
      </c>
      <c r="K667" t="str" cm="1">
        <f t="array" ref="K667">_xlfn.IFS(
  OR(MONTH(B667)=12, MONTH(B667)=1, MONTH(B667)=2), "Winter",
  OR(MONTH(B667)=3, MONTH(B667)=4, MONTH(B667)=5), "Spring",
  OR(MONTH(B667)=6, MONTH(B667)=7, MONTH(B667)=8), "Summer",
  OR(MONTH(B667)=9, MONTH(B667)=10, MONTH(B667)=11), "Fall"
)</f>
        <v>Winter</v>
      </c>
    </row>
    <row r="668" spans="1:11">
      <c r="A668">
        <v>667</v>
      </c>
      <c r="B668" s="1">
        <v>45139</v>
      </c>
      <c r="C668" t="s">
        <v>680</v>
      </c>
      <c r="D668" t="s">
        <v>13</v>
      </c>
      <c r="E668" s="2">
        <v>29</v>
      </c>
      <c r="F668" t="s">
        <v>16</v>
      </c>
      <c r="G668" s="2">
        <v>1</v>
      </c>
      <c r="H668" s="3">
        <v>500</v>
      </c>
      <c r="I668" s="3">
        <v>500</v>
      </c>
      <c r="J668" s="2" t="str">
        <f t="shared" si="10"/>
        <v>25–34</v>
      </c>
      <c r="K668" t="str" cm="1">
        <f t="array" ref="K668">_xlfn.IFS(
  OR(MONTH(B668)=12, MONTH(B668)=1, MONTH(B668)=2), "Winter",
  OR(MONTH(B668)=3, MONTH(B668)=4, MONTH(B668)=5), "Spring",
  OR(MONTH(B668)=6, MONTH(B668)=7, MONTH(B668)=8), "Summer",
  OR(MONTH(B668)=9, MONTH(B668)=10, MONTH(B668)=11), "Fall"
)</f>
        <v>Summer</v>
      </c>
    </row>
    <row r="669" spans="1:11">
      <c r="A669">
        <v>668</v>
      </c>
      <c r="B669" s="1">
        <v>45135</v>
      </c>
      <c r="C669" t="s">
        <v>681</v>
      </c>
      <c r="D669" t="s">
        <v>13</v>
      </c>
      <c r="E669" s="2">
        <v>62</v>
      </c>
      <c r="F669" t="s">
        <v>16</v>
      </c>
      <c r="G669" s="2">
        <v>3</v>
      </c>
      <c r="H669" s="3">
        <v>50</v>
      </c>
      <c r="I669" s="3">
        <v>150</v>
      </c>
      <c r="J669" s="2" t="str">
        <f t="shared" si="10"/>
        <v>55–64</v>
      </c>
      <c r="K669" t="str" cm="1">
        <f t="array" ref="K669">_xlfn.IFS(
  OR(MONTH(B669)=12, MONTH(B669)=1, MONTH(B669)=2), "Winter",
  OR(MONTH(B669)=3, MONTH(B669)=4, MONTH(B669)=5), "Spring",
  OR(MONTH(B669)=6, MONTH(B669)=7, MONTH(B669)=8), "Summer",
  OR(MONTH(B669)=9, MONTH(B669)=10, MONTH(B669)=11), "Fall"
)</f>
        <v>Summer</v>
      </c>
    </row>
    <row r="670" spans="1:11">
      <c r="A670">
        <v>669</v>
      </c>
      <c r="B670" s="1">
        <v>45096</v>
      </c>
      <c r="C670" t="s">
        <v>682</v>
      </c>
      <c r="D670" t="s">
        <v>10</v>
      </c>
      <c r="E670" s="2">
        <v>24</v>
      </c>
      <c r="F670" t="s">
        <v>11</v>
      </c>
      <c r="G670" s="2">
        <v>4</v>
      </c>
      <c r="H670" s="3">
        <v>300</v>
      </c>
      <c r="I670" s="3">
        <v>1200</v>
      </c>
      <c r="J670" s="2" t="str">
        <f t="shared" si="10"/>
        <v>18–24</v>
      </c>
      <c r="K670" t="str" cm="1">
        <f t="array" ref="K670">_xlfn.IFS(
  OR(MONTH(B670)=12, MONTH(B670)=1, MONTH(B670)=2), "Winter",
  OR(MONTH(B670)=3, MONTH(B670)=4, MONTH(B670)=5), "Spring",
  OR(MONTH(B670)=6, MONTH(B670)=7, MONTH(B670)=8), "Summer",
  OR(MONTH(B670)=9, MONTH(B670)=10, MONTH(B670)=11), "Fall"
)</f>
        <v>Summer</v>
      </c>
    </row>
    <row r="671" spans="1:11">
      <c r="A671">
        <v>670</v>
      </c>
      <c r="B671" s="1">
        <v>45204</v>
      </c>
      <c r="C671" t="s">
        <v>683</v>
      </c>
      <c r="D671" t="s">
        <v>10</v>
      </c>
      <c r="E671" s="2">
        <v>27</v>
      </c>
      <c r="F671" t="s">
        <v>11</v>
      </c>
      <c r="G671" s="2">
        <v>1</v>
      </c>
      <c r="H671" s="3">
        <v>30</v>
      </c>
      <c r="I671" s="3">
        <v>30</v>
      </c>
      <c r="J671" s="2" t="str">
        <f t="shared" si="10"/>
        <v>25–34</v>
      </c>
      <c r="K671" t="str" cm="1">
        <f t="array" ref="K671">_xlfn.IFS(
  OR(MONTH(B671)=12, MONTH(B671)=1, MONTH(B671)=2), "Winter",
  OR(MONTH(B671)=3, MONTH(B671)=4, MONTH(B671)=5), "Spring",
  OR(MONTH(B671)=6, MONTH(B671)=7, MONTH(B671)=8), "Summer",
  OR(MONTH(B671)=9, MONTH(B671)=10, MONTH(B671)=11), "Fall"
)</f>
        <v>Fall</v>
      </c>
    </row>
    <row r="672" spans="1:11">
      <c r="A672">
        <v>671</v>
      </c>
      <c r="B672" s="1">
        <v>45165</v>
      </c>
      <c r="C672" t="s">
        <v>684</v>
      </c>
      <c r="D672" t="s">
        <v>10</v>
      </c>
      <c r="E672" s="2">
        <v>62</v>
      </c>
      <c r="F672" t="s">
        <v>16</v>
      </c>
      <c r="G672" s="2">
        <v>3</v>
      </c>
      <c r="H672" s="3">
        <v>50</v>
      </c>
      <c r="I672" s="3">
        <v>150</v>
      </c>
      <c r="J672" s="2" t="str">
        <f t="shared" si="10"/>
        <v>55–64</v>
      </c>
      <c r="K672" t="str" cm="1">
        <f t="array" ref="K672">_xlfn.IFS(
  OR(MONTH(B672)=12, MONTH(B672)=1, MONTH(B672)=2), "Winter",
  OR(MONTH(B672)=3, MONTH(B672)=4, MONTH(B672)=5), "Spring",
  OR(MONTH(B672)=6, MONTH(B672)=7, MONTH(B672)=8), "Summer",
  OR(MONTH(B672)=9, MONTH(B672)=10, MONTH(B672)=11), "Fall"
)</f>
        <v>Summer</v>
      </c>
    </row>
    <row r="673" spans="1:11">
      <c r="A673">
        <v>672</v>
      </c>
      <c r="B673" s="1">
        <v>45139</v>
      </c>
      <c r="C673" t="s">
        <v>685</v>
      </c>
      <c r="D673" t="s">
        <v>13</v>
      </c>
      <c r="E673" s="2">
        <v>34</v>
      </c>
      <c r="F673" t="s">
        <v>11</v>
      </c>
      <c r="G673" s="2">
        <v>2</v>
      </c>
      <c r="H673" s="3">
        <v>50</v>
      </c>
      <c r="I673" s="3">
        <v>100</v>
      </c>
      <c r="J673" s="2" t="str">
        <f t="shared" si="10"/>
        <v>25–34</v>
      </c>
      <c r="K673" t="str" cm="1">
        <f t="array" ref="K673">_xlfn.IFS(
  OR(MONTH(B673)=12, MONTH(B673)=1, MONTH(B673)=2), "Winter",
  OR(MONTH(B673)=3, MONTH(B673)=4, MONTH(B673)=5), "Spring",
  OR(MONTH(B673)=6, MONTH(B673)=7, MONTH(B673)=8), "Summer",
  OR(MONTH(B673)=9, MONTH(B673)=10, MONTH(B673)=11), "Fall"
)</f>
        <v>Summer</v>
      </c>
    </row>
    <row r="674" spans="1:11">
      <c r="A674">
        <v>673</v>
      </c>
      <c r="B674" s="1">
        <v>44958</v>
      </c>
      <c r="C674" t="s">
        <v>686</v>
      </c>
      <c r="D674" t="s">
        <v>13</v>
      </c>
      <c r="E674" s="2">
        <v>43</v>
      </c>
      <c r="F674" t="s">
        <v>14</v>
      </c>
      <c r="G674" s="2">
        <v>3</v>
      </c>
      <c r="H674" s="3">
        <v>500</v>
      </c>
      <c r="I674" s="3">
        <v>1500</v>
      </c>
      <c r="J674" s="2" t="str">
        <f t="shared" si="10"/>
        <v>35–44</v>
      </c>
      <c r="K674" t="str" cm="1">
        <f t="array" ref="K674">_xlfn.IFS(
  OR(MONTH(B674)=12, MONTH(B674)=1, MONTH(B674)=2), "Winter",
  OR(MONTH(B674)=3, MONTH(B674)=4, MONTH(B674)=5), "Spring",
  OR(MONTH(B674)=6, MONTH(B674)=7, MONTH(B674)=8), "Summer",
  OR(MONTH(B674)=9, MONTH(B674)=10, MONTH(B674)=11), "Fall"
)</f>
        <v>Winter</v>
      </c>
    </row>
    <row r="675" spans="1:11">
      <c r="A675">
        <v>674</v>
      </c>
      <c r="B675" s="1">
        <v>45032</v>
      </c>
      <c r="C675" t="s">
        <v>687</v>
      </c>
      <c r="D675" t="s">
        <v>13</v>
      </c>
      <c r="E675" s="2">
        <v>38</v>
      </c>
      <c r="F675" t="s">
        <v>14</v>
      </c>
      <c r="G675" s="2">
        <v>1</v>
      </c>
      <c r="H675" s="3">
        <v>300</v>
      </c>
      <c r="I675" s="3">
        <v>300</v>
      </c>
      <c r="J675" s="2" t="str">
        <f t="shared" si="10"/>
        <v>35–44</v>
      </c>
      <c r="K675" t="str" cm="1">
        <f t="array" ref="K675">_xlfn.IFS(
  OR(MONTH(B675)=12, MONTH(B675)=1, MONTH(B675)=2), "Winter",
  OR(MONTH(B675)=3, MONTH(B675)=4, MONTH(B675)=5), "Spring",
  OR(MONTH(B675)=6, MONTH(B675)=7, MONTH(B675)=8), "Summer",
  OR(MONTH(B675)=9, MONTH(B675)=10, MONTH(B675)=11), "Fall"
)</f>
        <v>Spring</v>
      </c>
    </row>
    <row r="676" spans="1:11">
      <c r="A676">
        <v>675</v>
      </c>
      <c r="B676" s="1">
        <v>45142</v>
      </c>
      <c r="C676" t="s">
        <v>688</v>
      </c>
      <c r="D676" t="s">
        <v>13</v>
      </c>
      <c r="E676" s="2">
        <v>45</v>
      </c>
      <c r="F676" t="s">
        <v>14</v>
      </c>
      <c r="G676" s="2">
        <v>2</v>
      </c>
      <c r="H676" s="3">
        <v>30</v>
      </c>
      <c r="I676" s="3">
        <v>60</v>
      </c>
      <c r="J676" s="2" t="str">
        <f t="shared" si="10"/>
        <v>45–54</v>
      </c>
      <c r="K676" t="str" cm="1">
        <f t="array" ref="K676">_xlfn.IFS(
  OR(MONTH(B676)=12, MONTH(B676)=1, MONTH(B676)=2), "Winter",
  OR(MONTH(B676)=3, MONTH(B676)=4, MONTH(B676)=5), "Spring",
  OR(MONTH(B676)=6, MONTH(B676)=7, MONTH(B676)=8), "Summer",
  OR(MONTH(B676)=9, MONTH(B676)=10, MONTH(B676)=11), "Fall"
)</f>
        <v>Summer</v>
      </c>
    </row>
    <row r="677" spans="1:11">
      <c r="A677">
        <v>676</v>
      </c>
      <c r="B677" s="1">
        <v>45126</v>
      </c>
      <c r="C677" t="s">
        <v>689</v>
      </c>
      <c r="D677" t="s">
        <v>10</v>
      </c>
      <c r="E677" s="2">
        <v>63</v>
      </c>
      <c r="F677" t="s">
        <v>16</v>
      </c>
      <c r="G677" s="2">
        <v>3</v>
      </c>
      <c r="H677" s="3">
        <v>500</v>
      </c>
      <c r="I677" s="3">
        <v>1500</v>
      </c>
      <c r="J677" s="2" t="str">
        <f t="shared" si="10"/>
        <v>55–64</v>
      </c>
      <c r="K677" t="str" cm="1">
        <f t="array" ref="K677">_xlfn.IFS(
  OR(MONTH(B677)=12, MONTH(B677)=1, MONTH(B677)=2), "Winter",
  OR(MONTH(B677)=3, MONTH(B677)=4, MONTH(B677)=5), "Spring",
  OR(MONTH(B677)=6, MONTH(B677)=7, MONTH(B677)=8), "Summer",
  OR(MONTH(B677)=9, MONTH(B677)=10, MONTH(B677)=11), "Fall"
)</f>
        <v>Summer</v>
      </c>
    </row>
    <row r="678" spans="1:11">
      <c r="A678">
        <v>677</v>
      </c>
      <c r="B678" s="1">
        <v>45226</v>
      </c>
      <c r="C678" t="s">
        <v>690</v>
      </c>
      <c r="D678" t="s">
        <v>13</v>
      </c>
      <c r="E678" s="2">
        <v>19</v>
      </c>
      <c r="F678" t="s">
        <v>11</v>
      </c>
      <c r="G678" s="2">
        <v>3</v>
      </c>
      <c r="H678" s="3">
        <v>500</v>
      </c>
      <c r="I678" s="3">
        <v>1500</v>
      </c>
      <c r="J678" s="2" t="str">
        <f t="shared" si="10"/>
        <v>18–24</v>
      </c>
      <c r="K678" t="str" cm="1">
        <f t="array" ref="K678">_xlfn.IFS(
  OR(MONTH(B678)=12, MONTH(B678)=1, MONTH(B678)=2), "Winter",
  OR(MONTH(B678)=3, MONTH(B678)=4, MONTH(B678)=5), "Spring",
  OR(MONTH(B678)=6, MONTH(B678)=7, MONTH(B678)=8), "Summer",
  OR(MONTH(B678)=9, MONTH(B678)=10, MONTH(B678)=11), "Fall"
)</f>
        <v>Fall</v>
      </c>
    </row>
    <row r="679" spans="1:11">
      <c r="A679">
        <v>678</v>
      </c>
      <c r="B679" s="1">
        <v>45283</v>
      </c>
      <c r="C679" t="s">
        <v>691</v>
      </c>
      <c r="D679" t="s">
        <v>13</v>
      </c>
      <c r="E679" s="2">
        <v>60</v>
      </c>
      <c r="F679" t="s">
        <v>16</v>
      </c>
      <c r="G679" s="2">
        <v>3</v>
      </c>
      <c r="H679" s="3">
        <v>300</v>
      </c>
      <c r="I679" s="3">
        <v>900</v>
      </c>
      <c r="J679" s="2" t="str">
        <f t="shared" si="10"/>
        <v>55–64</v>
      </c>
      <c r="K679" t="str" cm="1">
        <f t="array" ref="K679">_xlfn.IFS(
  OR(MONTH(B679)=12, MONTH(B679)=1, MONTH(B679)=2), "Winter",
  OR(MONTH(B679)=3, MONTH(B679)=4, MONTH(B679)=5), "Spring",
  OR(MONTH(B679)=6, MONTH(B679)=7, MONTH(B679)=8), "Summer",
  OR(MONTH(B679)=9, MONTH(B679)=10, MONTH(B679)=11), "Fall"
)</f>
        <v>Winter</v>
      </c>
    </row>
    <row r="680" spans="1:11">
      <c r="A680">
        <v>679</v>
      </c>
      <c r="B680" s="1">
        <v>44937</v>
      </c>
      <c r="C680" t="s">
        <v>692</v>
      </c>
      <c r="D680" t="s">
        <v>13</v>
      </c>
      <c r="E680" s="2">
        <v>18</v>
      </c>
      <c r="F680" t="s">
        <v>11</v>
      </c>
      <c r="G680" s="2">
        <v>3</v>
      </c>
      <c r="H680" s="3">
        <v>30</v>
      </c>
      <c r="I680" s="3">
        <v>90</v>
      </c>
      <c r="J680" s="2" t="str">
        <f t="shared" si="10"/>
        <v>18–24</v>
      </c>
      <c r="K680" t="str" cm="1">
        <f t="array" ref="K680">_xlfn.IFS(
  OR(MONTH(B680)=12, MONTH(B680)=1, MONTH(B680)=2), "Winter",
  OR(MONTH(B680)=3, MONTH(B680)=4, MONTH(B680)=5), "Spring",
  OR(MONTH(B680)=6, MONTH(B680)=7, MONTH(B680)=8), "Summer",
  OR(MONTH(B680)=9, MONTH(B680)=10, MONTH(B680)=11), "Fall"
)</f>
        <v>Winter</v>
      </c>
    </row>
    <row r="681" spans="1:11">
      <c r="A681">
        <v>680</v>
      </c>
      <c r="B681" s="1">
        <v>45221</v>
      </c>
      <c r="C681" t="s">
        <v>693</v>
      </c>
      <c r="D681" t="s">
        <v>13</v>
      </c>
      <c r="E681" s="2">
        <v>53</v>
      </c>
      <c r="F681" t="s">
        <v>14</v>
      </c>
      <c r="G681" s="2">
        <v>3</v>
      </c>
      <c r="H681" s="3">
        <v>300</v>
      </c>
      <c r="I681" s="3">
        <v>900</v>
      </c>
      <c r="J681" s="2" t="str">
        <f t="shared" si="10"/>
        <v>45–54</v>
      </c>
      <c r="K681" t="str" cm="1">
        <f t="array" ref="K681">_xlfn.IFS(
  OR(MONTH(B681)=12, MONTH(B681)=1, MONTH(B681)=2), "Winter",
  OR(MONTH(B681)=3, MONTH(B681)=4, MONTH(B681)=5), "Spring",
  OR(MONTH(B681)=6, MONTH(B681)=7, MONTH(B681)=8), "Summer",
  OR(MONTH(B681)=9, MONTH(B681)=10, MONTH(B681)=11), "Fall"
)</f>
        <v>Fall</v>
      </c>
    </row>
    <row r="682" spans="1:11">
      <c r="A682">
        <v>681</v>
      </c>
      <c r="B682" s="1">
        <v>45121</v>
      </c>
      <c r="C682" t="s">
        <v>694</v>
      </c>
      <c r="D682" t="s">
        <v>13</v>
      </c>
      <c r="E682" s="2">
        <v>43</v>
      </c>
      <c r="F682" t="s">
        <v>16</v>
      </c>
      <c r="G682" s="2">
        <v>2</v>
      </c>
      <c r="H682" s="3">
        <v>30</v>
      </c>
      <c r="I682" s="3">
        <v>60</v>
      </c>
      <c r="J682" s="2" t="str">
        <f t="shared" si="10"/>
        <v>35–44</v>
      </c>
      <c r="K682" t="str" cm="1">
        <f t="array" ref="K682">_xlfn.IFS(
  OR(MONTH(B682)=12, MONTH(B682)=1, MONTH(B682)=2), "Winter",
  OR(MONTH(B682)=3, MONTH(B682)=4, MONTH(B682)=5), "Spring",
  OR(MONTH(B682)=6, MONTH(B682)=7, MONTH(B682)=8), "Summer",
  OR(MONTH(B682)=9, MONTH(B682)=10, MONTH(B682)=11), "Fall"
)</f>
        <v>Summer</v>
      </c>
    </row>
    <row r="683" spans="1:11">
      <c r="A683">
        <v>682</v>
      </c>
      <c r="B683" s="1">
        <v>45171</v>
      </c>
      <c r="C683" t="s">
        <v>695</v>
      </c>
      <c r="D683" t="s">
        <v>10</v>
      </c>
      <c r="E683" s="2">
        <v>46</v>
      </c>
      <c r="F683" t="s">
        <v>11</v>
      </c>
      <c r="G683" s="2">
        <v>4</v>
      </c>
      <c r="H683" s="3">
        <v>300</v>
      </c>
      <c r="I683" s="3">
        <v>1200</v>
      </c>
      <c r="J683" s="2" t="str">
        <f t="shared" si="10"/>
        <v>45–54</v>
      </c>
      <c r="K683" t="str" cm="1">
        <f t="array" ref="K683">_xlfn.IFS(
  OR(MONTH(B683)=12, MONTH(B683)=1, MONTH(B683)=2), "Winter",
  OR(MONTH(B683)=3, MONTH(B683)=4, MONTH(B683)=5), "Spring",
  OR(MONTH(B683)=6, MONTH(B683)=7, MONTH(B683)=8), "Summer",
  OR(MONTH(B683)=9, MONTH(B683)=10, MONTH(B683)=11), "Fall"
)</f>
        <v>Fall</v>
      </c>
    </row>
    <row r="684" spans="1:11">
      <c r="A684">
        <v>683</v>
      </c>
      <c r="B684" s="1">
        <v>44930</v>
      </c>
      <c r="C684" t="s">
        <v>696</v>
      </c>
      <c r="D684" t="s">
        <v>10</v>
      </c>
      <c r="E684" s="2">
        <v>38</v>
      </c>
      <c r="F684" t="s">
        <v>11</v>
      </c>
      <c r="G684" s="2">
        <v>2</v>
      </c>
      <c r="H684" s="3">
        <v>500</v>
      </c>
      <c r="I684" s="3">
        <v>1000</v>
      </c>
      <c r="J684" s="2" t="str">
        <f t="shared" si="10"/>
        <v>35–44</v>
      </c>
      <c r="K684" t="str" cm="1">
        <f t="array" ref="K684">_xlfn.IFS(
  OR(MONTH(B684)=12, MONTH(B684)=1, MONTH(B684)=2), "Winter",
  OR(MONTH(B684)=3, MONTH(B684)=4, MONTH(B684)=5), "Spring",
  OR(MONTH(B684)=6, MONTH(B684)=7, MONTH(B684)=8), "Summer",
  OR(MONTH(B684)=9, MONTH(B684)=10, MONTH(B684)=11), "Fall"
)</f>
        <v>Winter</v>
      </c>
    </row>
    <row r="685" spans="1:11">
      <c r="A685">
        <v>684</v>
      </c>
      <c r="B685" s="1">
        <v>45107</v>
      </c>
      <c r="C685" t="s">
        <v>697</v>
      </c>
      <c r="D685" t="s">
        <v>13</v>
      </c>
      <c r="E685" s="2">
        <v>28</v>
      </c>
      <c r="F685" t="s">
        <v>14</v>
      </c>
      <c r="G685" s="2">
        <v>2</v>
      </c>
      <c r="H685" s="3">
        <v>500</v>
      </c>
      <c r="I685" s="3">
        <v>1000</v>
      </c>
      <c r="J685" s="2" t="str">
        <f t="shared" si="10"/>
        <v>25–34</v>
      </c>
      <c r="K685" t="str" cm="1">
        <f t="array" ref="K685">_xlfn.IFS(
  OR(MONTH(B685)=12, MONTH(B685)=1, MONTH(B685)=2), "Winter",
  OR(MONTH(B685)=3, MONTH(B685)=4, MONTH(B685)=5), "Spring",
  OR(MONTH(B685)=6, MONTH(B685)=7, MONTH(B685)=8), "Summer",
  OR(MONTH(B685)=9, MONTH(B685)=10, MONTH(B685)=11), "Fall"
)</f>
        <v>Summer</v>
      </c>
    </row>
    <row r="686" spans="1:11">
      <c r="A686">
        <v>685</v>
      </c>
      <c r="B686" s="1">
        <v>45079</v>
      </c>
      <c r="C686" t="s">
        <v>698</v>
      </c>
      <c r="D686" t="s">
        <v>10</v>
      </c>
      <c r="E686" s="2">
        <v>57</v>
      </c>
      <c r="F686" t="s">
        <v>16</v>
      </c>
      <c r="G686" s="2">
        <v>2</v>
      </c>
      <c r="H686" s="3">
        <v>25</v>
      </c>
      <c r="I686" s="3">
        <v>50</v>
      </c>
      <c r="J686" s="2" t="str">
        <f t="shared" si="10"/>
        <v>55–64</v>
      </c>
      <c r="K686" t="str" cm="1">
        <f t="array" ref="K686">_xlfn.IFS(
  OR(MONTH(B686)=12, MONTH(B686)=1, MONTH(B686)=2), "Winter",
  OR(MONTH(B686)=3, MONTH(B686)=4, MONTH(B686)=5), "Spring",
  OR(MONTH(B686)=6, MONTH(B686)=7, MONTH(B686)=8), "Summer",
  OR(MONTH(B686)=9, MONTH(B686)=10, MONTH(B686)=11), "Fall"
)</f>
        <v>Summer</v>
      </c>
    </row>
    <row r="687" spans="1:11">
      <c r="A687">
        <v>686</v>
      </c>
      <c r="B687" s="1">
        <v>45126</v>
      </c>
      <c r="C687" t="s">
        <v>699</v>
      </c>
      <c r="D687" t="s">
        <v>13</v>
      </c>
      <c r="E687" s="2">
        <v>28</v>
      </c>
      <c r="F687" t="s">
        <v>16</v>
      </c>
      <c r="G687" s="2">
        <v>4</v>
      </c>
      <c r="H687" s="3">
        <v>50</v>
      </c>
      <c r="I687" s="3">
        <v>200</v>
      </c>
      <c r="J687" s="2" t="str">
        <f t="shared" si="10"/>
        <v>25–34</v>
      </c>
      <c r="K687" t="str" cm="1">
        <f t="array" ref="K687">_xlfn.IFS(
  OR(MONTH(B687)=12, MONTH(B687)=1, MONTH(B687)=2), "Winter",
  OR(MONTH(B687)=3, MONTH(B687)=4, MONTH(B687)=5), "Spring",
  OR(MONTH(B687)=6, MONTH(B687)=7, MONTH(B687)=8), "Summer",
  OR(MONTH(B687)=9, MONTH(B687)=10, MONTH(B687)=11), "Fall"
)</f>
        <v>Summer</v>
      </c>
    </row>
    <row r="688" spans="1:11">
      <c r="A688">
        <v>687</v>
      </c>
      <c r="B688" s="1">
        <v>45141</v>
      </c>
      <c r="C688" t="s">
        <v>700</v>
      </c>
      <c r="D688" t="s">
        <v>13</v>
      </c>
      <c r="E688" s="2">
        <v>53</v>
      </c>
      <c r="F688" t="s">
        <v>16</v>
      </c>
      <c r="G688" s="2">
        <v>1</v>
      </c>
      <c r="H688" s="3">
        <v>300</v>
      </c>
      <c r="I688" s="3">
        <v>300</v>
      </c>
      <c r="J688" s="2" t="str">
        <f t="shared" si="10"/>
        <v>45–54</v>
      </c>
      <c r="K688" t="str" cm="1">
        <f t="array" ref="K688">_xlfn.IFS(
  OR(MONTH(B688)=12, MONTH(B688)=1, MONTH(B688)=2), "Winter",
  OR(MONTH(B688)=3, MONTH(B688)=4, MONTH(B688)=5), "Spring",
  OR(MONTH(B688)=6, MONTH(B688)=7, MONTH(B688)=8), "Summer",
  OR(MONTH(B688)=9, MONTH(B688)=10, MONTH(B688)=11), "Fall"
)</f>
        <v>Summer</v>
      </c>
    </row>
    <row r="689" spans="1:11">
      <c r="A689">
        <v>688</v>
      </c>
      <c r="B689" s="1">
        <v>45202</v>
      </c>
      <c r="C689" t="s">
        <v>701</v>
      </c>
      <c r="D689" t="s">
        <v>10</v>
      </c>
      <c r="E689" s="2">
        <v>56</v>
      </c>
      <c r="F689" t="s">
        <v>14</v>
      </c>
      <c r="G689" s="2">
        <v>4</v>
      </c>
      <c r="H689" s="3">
        <v>25</v>
      </c>
      <c r="I689" s="3">
        <v>100</v>
      </c>
      <c r="J689" s="2" t="str">
        <f t="shared" si="10"/>
        <v>55–64</v>
      </c>
      <c r="K689" t="str" cm="1">
        <f t="array" ref="K689">_xlfn.IFS(
  OR(MONTH(B689)=12, MONTH(B689)=1, MONTH(B689)=2), "Winter",
  OR(MONTH(B689)=3, MONTH(B689)=4, MONTH(B689)=5), "Spring",
  OR(MONTH(B689)=6, MONTH(B689)=7, MONTH(B689)=8), "Summer",
  OR(MONTH(B689)=9, MONTH(B689)=10, MONTH(B689)=11), "Fall"
)</f>
        <v>Fall</v>
      </c>
    </row>
    <row r="690" spans="1:11">
      <c r="A690">
        <v>689</v>
      </c>
      <c r="B690" s="1">
        <v>45206</v>
      </c>
      <c r="C690" t="s">
        <v>702</v>
      </c>
      <c r="D690" t="s">
        <v>10</v>
      </c>
      <c r="E690" s="2">
        <v>57</v>
      </c>
      <c r="F690" t="s">
        <v>16</v>
      </c>
      <c r="G690" s="2">
        <v>2</v>
      </c>
      <c r="H690" s="3">
        <v>50</v>
      </c>
      <c r="I690" s="3">
        <v>100</v>
      </c>
      <c r="J690" s="2" t="str">
        <f t="shared" si="10"/>
        <v>55–64</v>
      </c>
      <c r="K690" t="str" cm="1">
        <f t="array" ref="K690">_xlfn.IFS(
  OR(MONTH(B690)=12, MONTH(B690)=1, MONTH(B690)=2), "Winter",
  OR(MONTH(B690)=3, MONTH(B690)=4, MONTH(B690)=5), "Spring",
  OR(MONTH(B690)=6, MONTH(B690)=7, MONTH(B690)=8), "Summer",
  OR(MONTH(B690)=9, MONTH(B690)=10, MONTH(B690)=11), "Fall"
)</f>
        <v>Fall</v>
      </c>
    </row>
    <row r="691" spans="1:11">
      <c r="A691">
        <v>690</v>
      </c>
      <c r="B691" s="1">
        <v>45235</v>
      </c>
      <c r="C691" t="s">
        <v>703</v>
      </c>
      <c r="D691" t="s">
        <v>13</v>
      </c>
      <c r="E691" s="2">
        <v>52</v>
      </c>
      <c r="F691" t="s">
        <v>14</v>
      </c>
      <c r="G691" s="2">
        <v>3</v>
      </c>
      <c r="H691" s="3">
        <v>300</v>
      </c>
      <c r="I691" s="3">
        <v>900</v>
      </c>
      <c r="J691" s="2" t="str">
        <f t="shared" si="10"/>
        <v>45–54</v>
      </c>
      <c r="K691" t="str" cm="1">
        <f t="array" ref="K691">_xlfn.IFS(
  OR(MONTH(B691)=12, MONTH(B691)=1, MONTH(B691)=2), "Winter",
  OR(MONTH(B691)=3, MONTH(B691)=4, MONTH(B691)=5), "Spring",
  OR(MONTH(B691)=6, MONTH(B691)=7, MONTH(B691)=8), "Summer",
  OR(MONTH(B691)=9, MONTH(B691)=10, MONTH(B691)=11), "Fall"
)</f>
        <v>Fall</v>
      </c>
    </row>
    <row r="692" spans="1:11">
      <c r="A692">
        <v>691</v>
      </c>
      <c r="B692" s="1">
        <v>45039</v>
      </c>
      <c r="C692" t="s">
        <v>704</v>
      </c>
      <c r="D692" t="s">
        <v>13</v>
      </c>
      <c r="E692" s="2">
        <v>51</v>
      </c>
      <c r="F692" t="s">
        <v>14</v>
      </c>
      <c r="G692" s="2">
        <v>3</v>
      </c>
      <c r="H692" s="3">
        <v>30</v>
      </c>
      <c r="I692" s="3">
        <v>90</v>
      </c>
      <c r="J692" s="2" t="str">
        <f t="shared" si="10"/>
        <v>45–54</v>
      </c>
      <c r="K692" t="str" cm="1">
        <f t="array" ref="K692">_xlfn.IFS(
  OR(MONTH(B692)=12, MONTH(B692)=1, MONTH(B692)=2), "Winter",
  OR(MONTH(B692)=3, MONTH(B692)=4, MONTH(B692)=5), "Spring",
  OR(MONTH(B692)=6, MONTH(B692)=7, MONTH(B692)=8), "Summer",
  OR(MONTH(B692)=9, MONTH(B692)=10, MONTH(B692)=11), "Fall"
)</f>
        <v>Spring</v>
      </c>
    </row>
    <row r="693" spans="1:11">
      <c r="A693">
        <v>692</v>
      </c>
      <c r="B693" s="1">
        <v>45176</v>
      </c>
      <c r="C693" t="s">
        <v>705</v>
      </c>
      <c r="D693" t="s">
        <v>13</v>
      </c>
      <c r="E693" s="2">
        <v>64</v>
      </c>
      <c r="F693" t="s">
        <v>14</v>
      </c>
      <c r="G693" s="2">
        <v>2</v>
      </c>
      <c r="H693" s="3">
        <v>50</v>
      </c>
      <c r="I693" s="3">
        <v>100</v>
      </c>
      <c r="J693" s="2" t="str">
        <f t="shared" si="10"/>
        <v>55–64</v>
      </c>
      <c r="K693" t="str" cm="1">
        <f t="array" ref="K693">_xlfn.IFS(
  OR(MONTH(B693)=12, MONTH(B693)=1, MONTH(B693)=2), "Winter",
  OR(MONTH(B693)=3, MONTH(B693)=4, MONTH(B693)=5), "Spring",
  OR(MONTH(B693)=6, MONTH(B693)=7, MONTH(B693)=8), "Summer",
  OR(MONTH(B693)=9, MONTH(B693)=10, MONTH(B693)=11), "Fall"
)</f>
        <v>Fall</v>
      </c>
    </row>
    <row r="694" spans="1:11">
      <c r="A694">
        <v>693</v>
      </c>
      <c r="B694" s="1">
        <v>45039</v>
      </c>
      <c r="C694" t="s">
        <v>706</v>
      </c>
      <c r="D694" t="s">
        <v>10</v>
      </c>
      <c r="E694" s="2">
        <v>41</v>
      </c>
      <c r="F694" t="s">
        <v>11</v>
      </c>
      <c r="G694" s="2">
        <v>3</v>
      </c>
      <c r="H694" s="3">
        <v>500</v>
      </c>
      <c r="I694" s="3">
        <v>1500</v>
      </c>
      <c r="J694" s="2" t="str">
        <f t="shared" si="10"/>
        <v>35–44</v>
      </c>
      <c r="K694" t="str" cm="1">
        <f t="array" ref="K694">_xlfn.IFS(
  OR(MONTH(B694)=12, MONTH(B694)=1, MONTH(B694)=2), "Winter",
  OR(MONTH(B694)=3, MONTH(B694)=4, MONTH(B694)=5), "Spring",
  OR(MONTH(B694)=6, MONTH(B694)=7, MONTH(B694)=8), "Summer",
  OR(MONTH(B694)=9, MONTH(B694)=10, MONTH(B694)=11), "Fall"
)</f>
        <v>Spring</v>
      </c>
    </row>
    <row r="695" spans="1:11">
      <c r="A695">
        <v>694</v>
      </c>
      <c r="B695" s="1">
        <v>45066</v>
      </c>
      <c r="C695" t="s">
        <v>707</v>
      </c>
      <c r="D695" t="s">
        <v>13</v>
      </c>
      <c r="E695" s="2">
        <v>39</v>
      </c>
      <c r="F695" t="s">
        <v>16</v>
      </c>
      <c r="G695" s="2">
        <v>2</v>
      </c>
      <c r="H695" s="3">
        <v>25</v>
      </c>
      <c r="I695" s="3">
        <v>50</v>
      </c>
      <c r="J695" s="2" t="str">
        <f t="shared" si="10"/>
        <v>35–44</v>
      </c>
      <c r="K695" t="str" cm="1">
        <f t="array" ref="K695">_xlfn.IFS(
  OR(MONTH(B695)=12, MONTH(B695)=1, MONTH(B695)=2), "Winter",
  OR(MONTH(B695)=3, MONTH(B695)=4, MONTH(B695)=5), "Spring",
  OR(MONTH(B695)=6, MONTH(B695)=7, MONTH(B695)=8), "Summer",
  OR(MONTH(B695)=9, MONTH(B695)=10, MONTH(B695)=11), "Fall"
)</f>
        <v>Spring</v>
      </c>
    </row>
    <row r="696" spans="1:11">
      <c r="A696">
        <v>695</v>
      </c>
      <c r="B696" s="1">
        <v>45150</v>
      </c>
      <c r="C696" t="s">
        <v>708</v>
      </c>
      <c r="D696" t="s">
        <v>13</v>
      </c>
      <c r="E696" s="2">
        <v>22</v>
      </c>
      <c r="F696" t="s">
        <v>16</v>
      </c>
      <c r="G696" s="2">
        <v>3</v>
      </c>
      <c r="H696" s="3">
        <v>50</v>
      </c>
      <c r="I696" s="3">
        <v>150</v>
      </c>
      <c r="J696" s="2" t="str">
        <f t="shared" si="10"/>
        <v>18–24</v>
      </c>
      <c r="K696" t="str" cm="1">
        <f t="array" ref="K696">_xlfn.IFS(
  OR(MONTH(B696)=12, MONTH(B696)=1, MONTH(B696)=2), "Winter",
  OR(MONTH(B696)=3, MONTH(B696)=4, MONTH(B696)=5), "Spring",
  OR(MONTH(B696)=6, MONTH(B696)=7, MONTH(B696)=8), "Summer",
  OR(MONTH(B696)=9, MONTH(B696)=10, MONTH(B696)=11), "Fall"
)</f>
        <v>Summer</v>
      </c>
    </row>
    <row r="697" spans="1:11">
      <c r="A697">
        <v>696</v>
      </c>
      <c r="B697" s="1">
        <v>45175</v>
      </c>
      <c r="C697" t="s">
        <v>709</v>
      </c>
      <c r="D697" t="s">
        <v>13</v>
      </c>
      <c r="E697" s="2">
        <v>50</v>
      </c>
      <c r="F697" t="s">
        <v>14</v>
      </c>
      <c r="G697" s="2">
        <v>4</v>
      </c>
      <c r="H697" s="3">
        <v>50</v>
      </c>
      <c r="I697" s="3">
        <v>200</v>
      </c>
      <c r="J697" s="2" t="str">
        <f t="shared" si="10"/>
        <v>45–54</v>
      </c>
      <c r="K697" t="str" cm="1">
        <f t="array" ref="K697">_xlfn.IFS(
  OR(MONTH(B697)=12, MONTH(B697)=1, MONTH(B697)=2), "Winter",
  OR(MONTH(B697)=3, MONTH(B697)=4, MONTH(B697)=5), "Spring",
  OR(MONTH(B697)=6, MONTH(B697)=7, MONTH(B697)=8), "Summer",
  OR(MONTH(B697)=9, MONTH(B697)=10, MONTH(B697)=11), "Fall"
)</f>
        <v>Fall</v>
      </c>
    </row>
    <row r="698" spans="1:11">
      <c r="A698">
        <v>697</v>
      </c>
      <c r="B698" s="1">
        <v>44941</v>
      </c>
      <c r="C698" t="s">
        <v>710</v>
      </c>
      <c r="D698" t="s">
        <v>10</v>
      </c>
      <c r="E698" s="2">
        <v>53</v>
      </c>
      <c r="F698" t="s">
        <v>14</v>
      </c>
      <c r="G698" s="2">
        <v>1</v>
      </c>
      <c r="H698" s="3">
        <v>500</v>
      </c>
      <c r="I698" s="3">
        <v>500</v>
      </c>
      <c r="J698" s="2" t="str">
        <f t="shared" si="10"/>
        <v>45–54</v>
      </c>
      <c r="K698" t="str" cm="1">
        <f t="array" ref="K698">_xlfn.IFS(
  OR(MONTH(B698)=12, MONTH(B698)=1, MONTH(B698)=2), "Winter",
  OR(MONTH(B698)=3, MONTH(B698)=4, MONTH(B698)=5), "Spring",
  OR(MONTH(B698)=6, MONTH(B698)=7, MONTH(B698)=8), "Summer",
  OR(MONTH(B698)=9, MONTH(B698)=10, MONTH(B698)=11), "Fall"
)</f>
        <v>Winter</v>
      </c>
    </row>
    <row r="699" spans="1:11">
      <c r="A699">
        <v>698</v>
      </c>
      <c r="B699" s="1">
        <v>45126</v>
      </c>
      <c r="C699" t="s">
        <v>711</v>
      </c>
      <c r="D699" t="s">
        <v>13</v>
      </c>
      <c r="E699" s="2">
        <v>64</v>
      </c>
      <c r="F699" t="s">
        <v>16</v>
      </c>
      <c r="G699" s="2">
        <v>1</v>
      </c>
      <c r="H699" s="3">
        <v>300</v>
      </c>
      <c r="I699" s="3">
        <v>300</v>
      </c>
      <c r="J699" s="2" t="str">
        <f t="shared" si="10"/>
        <v>55–64</v>
      </c>
      <c r="K699" t="str" cm="1">
        <f t="array" ref="K699">_xlfn.IFS(
  OR(MONTH(B699)=12, MONTH(B699)=1, MONTH(B699)=2), "Winter",
  OR(MONTH(B699)=3, MONTH(B699)=4, MONTH(B699)=5), "Spring",
  OR(MONTH(B699)=6, MONTH(B699)=7, MONTH(B699)=8), "Summer",
  OR(MONTH(B699)=9, MONTH(B699)=10, MONTH(B699)=11), "Fall"
)</f>
        <v>Summer</v>
      </c>
    </row>
    <row r="700" spans="1:11">
      <c r="A700">
        <v>699</v>
      </c>
      <c r="B700" s="1">
        <v>45099</v>
      </c>
      <c r="C700" t="s">
        <v>712</v>
      </c>
      <c r="D700" t="s">
        <v>13</v>
      </c>
      <c r="E700" s="2">
        <v>37</v>
      </c>
      <c r="F700" t="s">
        <v>14</v>
      </c>
      <c r="G700" s="2">
        <v>4</v>
      </c>
      <c r="H700" s="3">
        <v>30</v>
      </c>
      <c r="I700" s="3">
        <v>120</v>
      </c>
      <c r="J700" s="2" t="str">
        <f t="shared" si="10"/>
        <v>35–44</v>
      </c>
      <c r="K700" t="str" cm="1">
        <f t="array" ref="K700">_xlfn.IFS(
  OR(MONTH(B700)=12, MONTH(B700)=1, MONTH(B700)=2), "Winter",
  OR(MONTH(B700)=3, MONTH(B700)=4, MONTH(B700)=5), "Spring",
  OR(MONTH(B700)=6, MONTH(B700)=7, MONTH(B700)=8), "Summer",
  OR(MONTH(B700)=9, MONTH(B700)=10, MONTH(B700)=11), "Fall"
)</f>
        <v>Summer</v>
      </c>
    </row>
    <row r="701" spans="1:11">
      <c r="A701">
        <v>700</v>
      </c>
      <c r="B701" s="1">
        <v>45269</v>
      </c>
      <c r="C701" t="s">
        <v>713</v>
      </c>
      <c r="D701" t="s">
        <v>10</v>
      </c>
      <c r="E701" s="2">
        <v>36</v>
      </c>
      <c r="F701" t="s">
        <v>16</v>
      </c>
      <c r="G701" s="2">
        <v>4</v>
      </c>
      <c r="H701" s="3">
        <v>500</v>
      </c>
      <c r="I701" s="3">
        <v>2000</v>
      </c>
      <c r="J701" s="2" t="str">
        <f t="shared" si="10"/>
        <v>35–44</v>
      </c>
      <c r="K701" t="str" cm="1">
        <f t="array" ref="K701">_xlfn.IFS(
  OR(MONTH(B701)=12, MONTH(B701)=1, MONTH(B701)=2), "Winter",
  OR(MONTH(B701)=3, MONTH(B701)=4, MONTH(B701)=5), "Spring",
  OR(MONTH(B701)=6, MONTH(B701)=7, MONTH(B701)=8), "Summer",
  OR(MONTH(B701)=9, MONTH(B701)=10, MONTH(B701)=11), "Fall"
)</f>
        <v>Winter</v>
      </c>
    </row>
    <row r="702" spans="1:11">
      <c r="A702">
        <v>701</v>
      </c>
      <c r="B702" s="1">
        <v>45274</v>
      </c>
      <c r="C702" t="s">
        <v>714</v>
      </c>
      <c r="D702" t="s">
        <v>13</v>
      </c>
      <c r="E702" s="2">
        <v>52</v>
      </c>
      <c r="F702" t="s">
        <v>11</v>
      </c>
      <c r="G702" s="2">
        <v>2</v>
      </c>
      <c r="H702" s="3">
        <v>30</v>
      </c>
      <c r="I702" s="3">
        <v>60</v>
      </c>
      <c r="J702" s="2" t="str">
        <f t="shared" si="10"/>
        <v>45–54</v>
      </c>
      <c r="K702" t="str" cm="1">
        <f t="array" ref="K702">_xlfn.IFS(
  OR(MONTH(B702)=12, MONTH(B702)=1, MONTH(B702)=2), "Winter",
  OR(MONTH(B702)=3, MONTH(B702)=4, MONTH(B702)=5), "Spring",
  OR(MONTH(B702)=6, MONTH(B702)=7, MONTH(B702)=8), "Summer",
  OR(MONTH(B702)=9, MONTH(B702)=10, MONTH(B702)=11), "Fall"
)</f>
        <v>Winter</v>
      </c>
    </row>
    <row r="703" spans="1:11">
      <c r="A703">
        <v>702</v>
      </c>
      <c r="B703" s="1">
        <v>45134</v>
      </c>
      <c r="C703" t="s">
        <v>715</v>
      </c>
      <c r="D703" t="s">
        <v>13</v>
      </c>
      <c r="E703" s="2">
        <v>60</v>
      </c>
      <c r="F703" t="s">
        <v>14</v>
      </c>
      <c r="G703" s="2">
        <v>2</v>
      </c>
      <c r="H703" s="3">
        <v>300</v>
      </c>
      <c r="I703" s="3">
        <v>600</v>
      </c>
      <c r="J703" s="2" t="str">
        <f t="shared" si="10"/>
        <v>55–64</v>
      </c>
      <c r="K703" t="str" cm="1">
        <f t="array" ref="K703">_xlfn.IFS(
  OR(MONTH(B703)=12, MONTH(B703)=1, MONTH(B703)=2), "Winter",
  OR(MONTH(B703)=3, MONTH(B703)=4, MONTH(B703)=5), "Spring",
  OR(MONTH(B703)=6, MONTH(B703)=7, MONTH(B703)=8), "Summer",
  OR(MONTH(B703)=9, MONTH(B703)=10, MONTH(B703)=11), "Fall"
)</f>
        <v>Summer</v>
      </c>
    </row>
    <row r="704" spans="1:11">
      <c r="A704">
        <v>703</v>
      </c>
      <c r="B704" s="1">
        <v>45011</v>
      </c>
      <c r="C704" t="s">
        <v>716</v>
      </c>
      <c r="D704" t="s">
        <v>10</v>
      </c>
      <c r="E704" s="2">
        <v>34</v>
      </c>
      <c r="F704" t="s">
        <v>16</v>
      </c>
      <c r="G704" s="2">
        <v>2</v>
      </c>
      <c r="H704" s="3">
        <v>50</v>
      </c>
      <c r="I704" s="3">
        <v>100</v>
      </c>
      <c r="J704" s="2" t="str">
        <f t="shared" si="10"/>
        <v>25–34</v>
      </c>
      <c r="K704" t="str" cm="1">
        <f t="array" ref="K704">_xlfn.IFS(
  OR(MONTH(B704)=12, MONTH(B704)=1, MONTH(B704)=2), "Winter",
  OR(MONTH(B704)=3, MONTH(B704)=4, MONTH(B704)=5), "Spring",
  OR(MONTH(B704)=6, MONTH(B704)=7, MONTH(B704)=8), "Summer",
  OR(MONTH(B704)=9, MONTH(B704)=10, MONTH(B704)=11), "Fall"
)</f>
        <v>Spring</v>
      </c>
    </row>
    <row r="705" spans="1:11">
      <c r="A705">
        <v>704</v>
      </c>
      <c r="B705" s="1">
        <v>45166</v>
      </c>
      <c r="C705" t="s">
        <v>717</v>
      </c>
      <c r="D705" t="s">
        <v>13</v>
      </c>
      <c r="E705" s="2">
        <v>62</v>
      </c>
      <c r="F705" t="s">
        <v>14</v>
      </c>
      <c r="G705" s="2">
        <v>3</v>
      </c>
      <c r="H705" s="3">
        <v>30</v>
      </c>
      <c r="I705" s="3">
        <v>90</v>
      </c>
      <c r="J705" s="2" t="str">
        <f t="shared" si="10"/>
        <v>55–64</v>
      </c>
      <c r="K705" t="str" cm="1">
        <f t="array" ref="K705">_xlfn.IFS(
  OR(MONTH(B705)=12, MONTH(B705)=1, MONTH(B705)=2), "Winter",
  OR(MONTH(B705)=3, MONTH(B705)=4, MONTH(B705)=5), "Spring",
  OR(MONTH(B705)=6, MONTH(B705)=7, MONTH(B705)=8), "Summer",
  OR(MONTH(B705)=9, MONTH(B705)=10, MONTH(B705)=11), "Fall"
)</f>
        <v>Summer</v>
      </c>
    </row>
    <row r="706" spans="1:11">
      <c r="A706">
        <v>705</v>
      </c>
      <c r="B706" s="1">
        <v>44992</v>
      </c>
      <c r="C706" t="s">
        <v>718</v>
      </c>
      <c r="D706" t="s">
        <v>10</v>
      </c>
      <c r="E706" s="2">
        <v>60</v>
      </c>
      <c r="F706" t="s">
        <v>16</v>
      </c>
      <c r="G706" s="2">
        <v>2</v>
      </c>
      <c r="H706" s="3">
        <v>25</v>
      </c>
      <c r="I706" s="3">
        <v>50</v>
      </c>
      <c r="J706" s="2" t="str">
        <f t="shared" ref="J706:J769" si="11">IF(AND(E706&gt;=18, E706&lt;=24), "18–24",
 IF(AND(E706&gt;=25, E706&lt;=34), "25–34",
 IF(AND(E706&gt;=35, E706&lt;=44), "35–44",
 IF(AND(E706&gt;=45, E706&lt;=54), "45–54",
 IF(AND(E706&gt;=55, E706&lt;=64), "55–64", "Other")))))</f>
        <v>55–64</v>
      </c>
      <c r="K706" t="str" cm="1">
        <f t="array" ref="K706">_xlfn.IFS(
  OR(MONTH(B706)=12, MONTH(B706)=1, MONTH(B706)=2), "Winter",
  OR(MONTH(B706)=3, MONTH(B706)=4, MONTH(B706)=5), "Spring",
  OR(MONTH(B706)=6, MONTH(B706)=7, MONTH(B706)=8), "Summer",
  OR(MONTH(B706)=9, MONTH(B706)=10, MONTH(B706)=11), "Fall"
)</f>
        <v>Spring</v>
      </c>
    </row>
    <row r="707" spans="1:11">
      <c r="A707">
        <v>706</v>
      </c>
      <c r="B707" s="1">
        <v>45245</v>
      </c>
      <c r="C707" t="s">
        <v>719</v>
      </c>
      <c r="D707" t="s">
        <v>10</v>
      </c>
      <c r="E707" s="2">
        <v>51</v>
      </c>
      <c r="F707" t="s">
        <v>16</v>
      </c>
      <c r="G707" s="2">
        <v>4</v>
      </c>
      <c r="H707" s="3">
        <v>25</v>
      </c>
      <c r="I707" s="3">
        <v>100</v>
      </c>
      <c r="J707" s="2" t="str">
        <f t="shared" si="11"/>
        <v>45–54</v>
      </c>
      <c r="K707" t="str" cm="1">
        <f t="array" ref="K707">_xlfn.IFS(
  OR(MONTH(B707)=12, MONTH(B707)=1, MONTH(B707)=2), "Winter",
  OR(MONTH(B707)=3, MONTH(B707)=4, MONTH(B707)=5), "Spring",
  OR(MONTH(B707)=6, MONTH(B707)=7, MONTH(B707)=8), "Summer",
  OR(MONTH(B707)=9, MONTH(B707)=10, MONTH(B707)=11), "Fall"
)</f>
        <v>Fall</v>
      </c>
    </row>
    <row r="708" spans="1:11">
      <c r="A708">
        <v>707</v>
      </c>
      <c r="B708" s="1">
        <v>45200</v>
      </c>
      <c r="C708" t="s">
        <v>720</v>
      </c>
      <c r="D708" t="s">
        <v>13</v>
      </c>
      <c r="E708" s="2">
        <v>26</v>
      </c>
      <c r="F708" t="s">
        <v>14</v>
      </c>
      <c r="G708" s="2">
        <v>1</v>
      </c>
      <c r="H708" s="3">
        <v>500</v>
      </c>
      <c r="I708" s="3">
        <v>500</v>
      </c>
      <c r="J708" s="2" t="str">
        <f t="shared" si="11"/>
        <v>25–34</v>
      </c>
      <c r="K708" t="str" cm="1">
        <f t="array" ref="K708">_xlfn.IFS(
  OR(MONTH(B708)=12, MONTH(B708)=1, MONTH(B708)=2), "Winter",
  OR(MONTH(B708)=3, MONTH(B708)=4, MONTH(B708)=5), "Spring",
  OR(MONTH(B708)=6, MONTH(B708)=7, MONTH(B708)=8), "Summer",
  OR(MONTH(B708)=9, MONTH(B708)=10, MONTH(B708)=11), "Fall"
)</f>
        <v>Fall</v>
      </c>
    </row>
    <row r="709" spans="1:11">
      <c r="A709">
        <v>708</v>
      </c>
      <c r="B709" s="1">
        <v>44940</v>
      </c>
      <c r="C709" t="s">
        <v>721</v>
      </c>
      <c r="D709" t="s">
        <v>13</v>
      </c>
      <c r="E709" s="2">
        <v>43</v>
      </c>
      <c r="F709" t="s">
        <v>11</v>
      </c>
      <c r="G709" s="2">
        <v>3</v>
      </c>
      <c r="H709" s="3">
        <v>300</v>
      </c>
      <c r="I709" s="3">
        <v>900</v>
      </c>
      <c r="J709" s="2" t="str">
        <f t="shared" si="11"/>
        <v>35–44</v>
      </c>
      <c r="K709" t="str" cm="1">
        <f t="array" ref="K709">_xlfn.IFS(
  OR(MONTH(B709)=12, MONTH(B709)=1, MONTH(B709)=2), "Winter",
  OR(MONTH(B709)=3, MONTH(B709)=4, MONTH(B709)=5), "Spring",
  OR(MONTH(B709)=6, MONTH(B709)=7, MONTH(B709)=8), "Summer",
  OR(MONTH(B709)=9, MONTH(B709)=10, MONTH(B709)=11), "Fall"
)</f>
        <v>Winter</v>
      </c>
    </row>
    <row r="710" spans="1:11">
      <c r="A710">
        <v>709</v>
      </c>
      <c r="B710" s="1">
        <v>45128</v>
      </c>
      <c r="C710" t="s">
        <v>722</v>
      </c>
      <c r="D710" t="s">
        <v>13</v>
      </c>
      <c r="E710" s="2">
        <v>19</v>
      </c>
      <c r="F710" t="s">
        <v>16</v>
      </c>
      <c r="G710" s="2">
        <v>2</v>
      </c>
      <c r="H710" s="3">
        <v>500</v>
      </c>
      <c r="I710" s="3">
        <v>1000</v>
      </c>
      <c r="J710" s="2" t="str">
        <f t="shared" si="11"/>
        <v>18–24</v>
      </c>
      <c r="K710" t="str" cm="1">
        <f t="array" ref="K710">_xlfn.IFS(
  OR(MONTH(B710)=12, MONTH(B710)=1, MONTH(B710)=2), "Winter",
  OR(MONTH(B710)=3, MONTH(B710)=4, MONTH(B710)=5), "Spring",
  OR(MONTH(B710)=6, MONTH(B710)=7, MONTH(B710)=8), "Summer",
  OR(MONTH(B710)=9, MONTH(B710)=10, MONTH(B710)=11), "Fall"
)</f>
        <v>Summer</v>
      </c>
    </row>
    <row r="711" spans="1:11">
      <c r="A711">
        <v>710</v>
      </c>
      <c r="B711" s="1">
        <v>45230</v>
      </c>
      <c r="C711" t="s">
        <v>723</v>
      </c>
      <c r="D711" t="s">
        <v>13</v>
      </c>
      <c r="E711" s="2">
        <v>26</v>
      </c>
      <c r="F711" t="s">
        <v>16</v>
      </c>
      <c r="G711" s="2">
        <v>3</v>
      </c>
      <c r="H711" s="3">
        <v>500</v>
      </c>
      <c r="I711" s="3">
        <v>1500</v>
      </c>
      <c r="J711" s="2" t="str">
        <f t="shared" si="11"/>
        <v>25–34</v>
      </c>
      <c r="K711" t="str" cm="1">
        <f t="array" ref="K711">_xlfn.IFS(
  OR(MONTH(B711)=12, MONTH(B711)=1, MONTH(B711)=2), "Winter",
  OR(MONTH(B711)=3, MONTH(B711)=4, MONTH(B711)=5), "Spring",
  OR(MONTH(B711)=6, MONTH(B711)=7, MONTH(B711)=8), "Summer",
  OR(MONTH(B711)=9, MONTH(B711)=10, MONTH(B711)=11), "Fall"
)</f>
        <v>Fall</v>
      </c>
    </row>
    <row r="712" spans="1:11">
      <c r="A712">
        <v>711</v>
      </c>
      <c r="B712" s="1">
        <v>45215</v>
      </c>
      <c r="C712" t="s">
        <v>724</v>
      </c>
      <c r="D712" t="s">
        <v>10</v>
      </c>
      <c r="E712" s="2">
        <v>26</v>
      </c>
      <c r="F712" t="s">
        <v>16</v>
      </c>
      <c r="G712" s="2">
        <v>3</v>
      </c>
      <c r="H712" s="3">
        <v>500</v>
      </c>
      <c r="I712" s="3">
        <v>1500</v>
      </c>
      <c r="J712" s="2" t="str">
        <f t="shared" si="11"/>
        <v>25–34</v>
      </c>
      <c r="K712" t="str" cm="1">
        <f t="array" ref="K712">_xlfn.IFS(
  OR(MONTH(B712)=12, MONTH(B712)=1, MONTH(B712)=2), "Winter",
  OR(MONTH(B712)=3, MONTH(B712)=4, MONTH(B712)=5), "Spring",
  OR(MONTH(B712)=6, MONTH(B712)=7, MONTH(B712)=8), "Summer",
  OR(MONTH(B712)=9, MONTH(B712)=10, MONTH(B712)=11), "Fall"
)</f>
        <v>Fall</v>
      </c>
    </row>
    <row r="713" spans="1:11">
      <c r="A713">
        <v>712</v>
      </c>
      <c r="B713" s="1">
        <v>45266</v>
      </c>
      <c r="C713" t="s">
        <v>725</v>
      </c>
      <c r="D713" t="s">
        <v>13</v>
      </c>
      <c r="E713" s="2">
        <v>57</v>
      </c>
      <c r="F713" t="s">
        <v>11</v>
      </c>
      <c r="G713" s="2">
        <v>2</v>
      </c>
      <c r="H713" s="3">
        <v>25</v>
      </c>
      <c r="I713" s="3">
        <v>50</v>
      </c>
      <c r="J713" s="2" t="str">
        <f t="shared" si="11"/>
        <v>55–64</v>
      </c>
      <c r="K713" t="str" cm="1">
        <f t="array" ref="K713">_xlfn.IFS(
  OR(MONTH(B713)=12, MONTH(B713)=1, MONTH(B713)=2), "Winter",
  OR(MONTH(B713)=3, MONTH(B713)=4, MONTH(B713)=5), "Spring",
  OR(MONTH(B713)=6, MONTH(B713)=7, MONTH(B713)=8), "Summer",
  OR(MONTH(B713)=9, MONTH(B713)=10, MONTH(B713)=11), "Fall"
)</f>
        <v>Winter</v>
      </c>
    </row>
    <row r="714" spans="1:11">
      <c r="A714">
        <v>713</v>
      </c>
      <c r="B714" s="1">
        <v>44940</v>
      </c>
      <c r="C714" t="s">
        <v>726</v>
      </c>
      <c r="D714" t="s">
        <v>10</v>
      </c>
      <c r="E714" s="2">
        <v>34</v>
      </c>
      <c r="F714" t="s">
        <v>11</v>
      </c>
      <c r="G714" s="2">
        <v>3</v>
      </c>
      <c r="H714" s="3">
        <v>25</v>
      </c>
      <c r="I714" s="3">
        <v>75</v>
      </c>
      <c r="J714" s="2" t="str">
        <f t="shared" si="11"/>
        <v>25–34</v>
      </c>
      <c r="K714" t="str" cm="1">
        <f t="array" ref="K714">_xlfn.IFS(
  OR(MONTH(B714)=12, MONTH(B714)=1, MONTH(B714)=2), "Winter",
  OR(MONTH(B714)=3, MONTH(B714)=4, MONTH(B714)=5), "Spring",
  OR(MONTH(B714)=6, MONTH(B714)=7, MONTH(B714)=8), "Summer",
  OR(MONTH(B714)=9, MONTH(B714)=10, MONTH(B714)=11), "Fall"
)</f>
        <v>Winter</v>
      </c>
    </row>
    <row r="715" spans="1:11">
      <c r="A715">
        <v>714</v>
      </c>
      <c r="B715" s="1">
        <v>44969</v>
      </c>
      <c r="C715" t="s">
        <v>727</v>
      </c>
      <c r="D715" t="s">
        <v>13</v>
      </c>
      <c r="E715" s="2">
        <v>18</v>
      </c>
      <c r="F715" t="s">
        <v>14</v>
      </c>
      <c r="G715" s="2">
        <v>1</v>
      </c>
      <c r="H715" s="3">
        <v>500</v>
      </c>
      <c r="I715" s="3">
        <v>500</v>
      </c>
      <c r="J715" s="2" t="str">
        <f t="shared" si="11"/>
        <v>18–24</v>
      </c>
      <c r="K715" t="str" cm="1">
        <f t="array" ref="K715">_xlfn.IFS(
  OR(MONTH(B715)=12, MONTH(B715)=1, MONTH(B715)=2), "Winter",
  OR(MONTH(B715)=3, MONTH(B715)=4, MONTH(B715)=5), "Spring",
  OR(MONTH(B715)=6, MONTH(B715)=7, MONTH(B715)=8), "Summer",
  OR(MONTH(B715)=9, MONTH(B715)=10, MONTH(B715)=11), "Fall"
)</f>
        <v>Winter</v>
      </c>
    </row>
    <row r="716" spans="1:11">
      <c r="A716">
        <v>715</v>
      </c>
      <c r="B716" s="1">
        <v>45256</v>
      </c>
      <c r="C716" t="s">
        <v>728</v>
      </c>
      <c r="D716" t="s">
        <v>13</v>
      </c>
      <c r="E716" s="2">
        <v>42</v>
      </c>
      <c r="F716" t="s">
        <v>11</v>
      </c>
      <c r="G716" s="2">
        <v>4</v>
      </c>
      <c r="H716" s="3">
        <v>25</v>
      </c>
      <c r="I716" s="3">
        <v>100</v>
      </c>
      <c r="J716" s="2" t="str">
        <f t="shared" si="11"/>
        <v>35–44</v>
      </c>
      <c r="K716" t="str" cm="1">
        <f t="array" ref="K716">_xlfn.IFS(
  OR(MONTH(B716)=12, MONTH(B716)=1, MONTH(B716)=2), "Winter",
  OR(MONTH(B716)=3, MONTH(B716)=4, MONTH(B716)=5), "Spring",
  OR(MONTH(B716)=6, MONTH(B716)=7, MONTH(B716)=8), "Summer",
  OR(MONTH(B716)=9, MONTH(B716)=10, MONTH(B716)=11), "Fall"
)</f>
        <v>Fall</v>
      </c>
    </row>
    <row r="717" spans="1:11">
      <c r="A717">
        <v>716</v>
      </c>
      <c r="B717" s="1">
        <v>45146</v>
      </c>
      <c r="C717" t="s">
        <v>729</v>
      </c>
      <c r="D717" t="s">
        <v>13</v>
      </c>
      <c r="E717" s="2">
        <v>60</v>
      </c>
      <c r="F717" t="s">
        <v>14</v>
      </c>
      <c r="G717" s="2">
        <v>4</v>
      </c>
      <c r="H717" s="3">
        <v>300</v>
      </c>
      <c r="I717" s="3">
        <v>1200</v>
      </c>
      <c r="J717" s="2" t="str">
        <f t="shared" si="11"/>
        <v>55–64</v>
      </c>
      <c r="K717" t="str" cm="1">
        <f t="array" ref="K717">_xlfn.IFS(
  OR(MONTH(B717)=12, MONTH(B717)=1, MONTH(B717)=2), "Winter",
  OR(MONTH(B717)=3, MONTH(B717)=4, MONTH(B717)=5), "Spring",
  OR(MONTH(B717)=6, MONTH(B717)=7, MONTH(B717)=8), "Summer",
  OR(MONTH(B717)=9, MONTH(B717)=10, MONTH(B717)=11), "Fall"
)</f>
        <v>Summer</v>
      </c>
    </row>
    <row r="718" spans="1:11">
      <c r="A718">
        <v>717</v>
      </c>
      <c r="B718" s="1">
        <v>44996</v>
      </c>
      <c r="C718" t="s">
        <v>730</v>
      </c>
      <c r="D718" t="s">
        <v>10</v>
      </c>
      <c r="E718" s="2">
        <v>57</v>
      </c>
      <c r="F718" t="s">
        <v>14</v>
      </c>
      <c r="G718" s="2">
        <v>1</v>
      </c>
      <c r="H718" s="3">
        <v>500</v>
      </c>
      <c r="I718" s="3">
        <v>500</v>
      </c>
      <c r="J718" s="2" t="str">
        <f t="shared" si="11"/>
        <v>55–64</v>
      </c>
      <c r="K718" t="str" cm="1">
        <f t="array" ref="K718">_xlfn.IFS(
  OR(MONTH(B718)=12, MONTH(B718)=1, MONTH(B718)=2), "Winter",
  OR(MONTH(B718)=3, MONTH(B718)=4, MONTH(B718)=5), "Spring",
  OR(MONTH(B718)=6, MONTH(B718)=7, MONTH(B718)=8), "Summer",
  OR(MONTH(B718)=9, MONTH(B718)=10, MONTH(B718)=11), "Fall"
)</f>
        <v>Spring</v>
      </c>
    </row>
    <row r="719" spans="1:11">
      <c r="A719">
        <v>718</v>
      </c>
      <c r="B719" s="1">
        <v>45163</v>
      </c>
      <c r="C719" t="s">
        <v>731</v>
      </c>
      <c r="D719" t="s">
        <v>13</v>
      </c>
      <c r="E719" s="2">
        <v>59</v>
      </c>
      <c r="F719" t="s">
        <v>11</v>
      </c>
      <c r="G719" s="2">
        <v>3</v>
      </c>
      <c r="H719" s="3">
        <v>25</v>
      </c>
      <c r="I719" s="3">
        <v>75</v>
      </c>
      <c r="J719" s="2" t="str">
        <f t="shared" si="11"/>
        <v>55–64</v>
      </c>
      <c r="K719" t="str" cm="1">
        <f t="array" ref="K719">_xlfn.IFS(
  OR(MONTH(B719)=12, MONTH(B719)=1, MONTH(B719)=2), "Winter",
  OR(MONTH(B719)=3, MONTH(B719)=4, MONTH(B719)=5), "Spring",
  OR(MONTH(B719)=6, MONTH(B719)=7, MONTH(B719)=8), "Summer",
  OR(MONTH(B719)=9, MONTH(B719)=10, MONTH(B719)=11), "Fall"
)</f>
        <v>Summer</v>
      </c>
    </row>
    <row r="720" spans="1:11">
      <c r="A720">
        <v>719</v>
      </c>
      <c r="B720" s="1">
        <v>45020</v>
      </c>
      <c r="C720" t="s">
        <v>732</v>
      </c>
      <c r="D720" t="s">
        <v>13</v>
      </c>
      <c r="E720" s="2">
        <v>42</v>
      </c>
      <c r="F720" t="s">
        <v>14</v>
      </c>
      <c r="G720" s="2">
        <v>2</v>
      </c>
      <c r="H720" s="3">
        <v>30</v>
      </c>
      <c r="I720" s="3">
        <v>60</v>
      </c>
      <c r="J720" s="2" t="str">
        <f t="shared" si="11"/>
        <v>35–44</v>
      </c>
      <c r="K720" t="str" cm="1">
        <f t="array" ref="K720">_xlfn.IFS(
  OR(MONTH(B720)=12, MONTH(B720)=1, MONTH(B720)=2), "Winter",
  OR(MONTH(B720)=3, MONTH(B720)=4, MONTH(B720)=5), "Spring",
  OR(MONTH(B720)=6, MONTH(B720)=7, MONTH(B720)=8), "Summer",
  OR(MONTH(B720)=9, MONTH(B720)=10, MONTH(B720)=11), "Fall"
)</f>
        <v>Spring</v>
      </c>
    </row>
    <row r="721" spans="1:11">
      <c r="A721">
        <v>720</v>
      </c>
      <c r="B721" s="1">
        <v>44952</v>
      </c>
      <c r="C721" t="s">
        <v>733</v>
      </c>
      <c r="D721" t="s">
        <v>13</v>
      </c>
      <c r="E721" s="2">
        <v>56</v>
      </c>
      <c r="F721" t="s">
        <v>11</v>
      </c>
      <c r="G721" s="2">
        <v>3</v>
      </c>
      <c r="H721" s="3">
        <v>500</v>
      </c>
      <c r="I721" s="3">
        <v>1500</v>
      </c>
      <c r="J721" s="2" t="str">
        <f t="shared" si="11"/>
        <v>55–64</v>
      </c>
      <c r="K721" t="str" cm="1">
        <f t="array" ref="K721">_xlfn.IFS(
  OR(MONTH(B721)=12, MONTH(B721)=1, MONTH(B721)=2), "Winter",
  OR(MONTH(B721)=3, MONTH(B721)=4, MONTH(B721)=5), "Spring",
  OR(MONTH(B721)=6, MONTH(B721)=7, MONTH(B721)=8), "Summer",
  OR(MONTH(B721)=9, MONTH(B721)=10, MONTH(B721)=11), "Fall"
)</f>
        <v>Winter</v>
      </c>
    </row>
    <row r="722" spans="1:11">
      <c r="A722">
        <v>721</v>
      </c>
      <c r="B722" s="1">
        <v>45060</v>
      </c>
      <c r="C722" t="s">
        <v>734</v>
      </c>
      <c r="D722" t="s">
        <v>13</v>
      </c>
      <c r="E722" s="2">
        <v>52</v>
      </c>
      <c r="F722" t="s">
        <v>14</v>
      </c>
      <c r="G722" s="2">
        <v>1</v>
      </c>
      <c r="H722" s="3">
        <v>500</v>
      </c>
      <c r="I722" s="3">
        <v>500</v>
      </c>
      <c r="J722" s="2" t="str">
        <f t="shared" si="11"/>
        <v>45–54</v>
      </c>
      <c r="K722" t="str" cm="1">
        <f t="array" ref="K722">_xlfn.IFS(
  OR(MONTH(B722)=12, MONTH(B722)=1, MONTH(B722)=2), "Winter",
  OR(MONTH(B722)=3, MONTH(B722)=4, MONTH(B722)=5), "Spring",
  OR(MONTH(B722)=6, MONTH(B722)=7, MONTH(B722)=8), "Summer",
  OR(MONTH(B722)=9, MONTH(B722)=10, MONTH(B722)=11), "Fall"
)</f>
        <v>Spring</v>
      </c>
    </row>
    <row r="723" spans="1:11">
      <c r="A723">
        <v>722</v>
      </c>
      <c r="B723" s="1">
        <v>45121</v>
      </c>
      <c r="C723" t="s">
        <v>735</v>
      </c>
      <c r="D723" t="s">
        <v>10</v>
      </c>
      <c r="E723" s="2">
        <v>20</v>
      </c>
      <c r="F723" t="s">
        <v>11</v>
      </c>
      <c r="G723" s="2">
        <v>3</v>
      </c>
      <c r="H723" s="3">
        <v>300</v>
      </c>
      <c r="I723" s="3">
        <v>900</v>
      </c>
      <c r="J723" s="2" t="str">
        <f t="shared" si="11"/>
        <v>18–24</v>
      </c>
      <c r="K723" t="str" cm="1">
        <f t="array" ref="K723">_xlfn.IFS(
  OR(MONTH(B723)=12, MONTH(B723)=1, MONTH(B723)=2), "Winter",
  OR(MONTH(B723)=3, MONTH(B723)=4, MONTH(B723)=5), "Spring",
  OR(MONTH(B723)=6, MONTH(B723)=7, MONTH(B723)=8), "Summer",
  OR(MONTH(B723)=9, MONTH(B723)=10, MONTH(B723)=11), "Fall"
)</f>
        <v>Summer</v>
      </c>
    </row>
    <row r="724" spans="1:11">
      <c r="A724">
        <v>723</v>
      </c>
      <c r="B724" s="1">
        <v>45094</v>
      </c>
      <c r="C724" t="s">
        <v>736</v>
      </c>
      <c r="D724" t="s">
        <v>13</v>
      </c>
      <c r="E724" s="2">
        <v>54</v>
      </c>
      <c r="F724" t="s">
        <v>11</v>
      </c>
      <c r="G724" s="2">
        <v>4</v>
      </c>
      <c r="H724" s="3">
        <v>50</v>
      </c>
      <c r="I724" s="3">
        <v>200</v>
      </c>
      <c r="J724" s="2" t="str">
        <f t="shared" si="11"/>
        <v>45–54</v>
      </c>
      <c r="K724" t="str" cm="1">
        <f t="array" ref="K724">_xlfn.IFS(
  OR(MONTH(B724)=12, MONTH(B724)=1, MONTH(B724)=2), "Winter",
  OR(MONTH(B724)=3, MONTH(B724)=4, MONTH(B724)=5), "Spring",
  OR(MONTH(B724)=6, MONTH(B724)=7, MONTH(B724)=8), "Summer",
  OR(MONTH(B724)=9, MONTH(B724)=10, MONTH(B724)=11), "Fall"
)</f>
        <v>Summer</v>
      </c>
    </row>
    <row r="725" spans="1:11">
      <c r="A725">
        <v>724</v>
      </c>
      <c r="B725" s="1">
        <v>45035</v>
      </c>
      <c r="C725" t="s">
        <v>737</v>
      </c>
      <c r="D725" t="s">
        <v>10</v>
      </c>
      <c r="E725" s="2">
        <v>61</v>
      </c>
      <c r="F725" t="s">
        <v>14</v>
      </c>
      <c r="G725" s="2">
        <v>3</v>
      </c>
      <c r="H725" s="3">
        <v>50</v>
      </c>
      <c r="I725" s="3">
        <v>150</v>
      </c>
      <c r="J725" s="2" t="str">
        <f t="shared" si="11"/>
        <v>55–64</v>
      </c>
      <c r="K725" t="str" cm="1">
        <f t="array" ref="K725">_xlfn.IFS(
  OR(MONTH(B725)=12, MONTH(B725)=1, MONTH(B725)=2), "Winter",
  OR(MONTH(B725)=3, MONTH(B725)=4, MONTH(B725)=5), "Spring",
  OR(MONTH(B725)=6, MONTH(B725)=7, MONTH(B725)=8), "Summer",
  OR(MONTH(B725)=9, MONTH(B725)=10, MONTH(B725)=11), "Fall"
)</f>
        <v>Spring</v>
      </c>
    </row>
    <row r="726" spans="1:11">
      <c r="A726">
        <v>725</v>
      </c>
      <c r="B726" s="1">
        <v>45159</v>
      </c>
      <c r="C726" t="s">
        <v>738</v>
      </c>
      <c r="D726" t="s">
        <v>10</v>
      </c>
      <c r="E726" s="2">
        <v>61</v>
      </c>
      <c r="F726" t="s">
        <v>16</v>
      </c>
      <c r="G726" s="2">
        <v>1</v>
      </c>
      <c r="H726" s="3">
        <v>300</v>
      </c>
      <c r="I726" s="3">
        <v>300</v>
      </c>
      <c r="J726" s="2" t="str">
        <f t="shared" si="11"/>
        <v>55–64</v>
      </c>
      <c r="K726" t="str" cm="1">
        <f t="array" ref="K726">_xlfn.IFS(
  OR(MONTH(B726)=12, MONTH(B726)=1, MONTH(B726)=2), "Winter",
  OR(MONTH(B726)=3, MONTH(B726)=4, MONTH(B726)=5), "Spring",
  OR(MONTH(B726)=6, MONTH(B726)=7, MONTH(B726)=8), "Summer",
  OR(MONTH(B726)=9, MONTH(B726)=10, MONTH(B726)=11), "Fall"
)</f>
        <v>Summer</v>
      </c>
    </row>
    <row r="727" spans="1:11">
      <c r="A727">
        <v>726</v>
      </c>
      <c r="B727" s="1">
        <v>45094</v>
      </c>
      <c r="C727" t="s">
        <v>739</v>
      </c>
      <c r="D727" t="s">
        <v>10</v>
      </c>
      <c r="E727" s="2">
        <v>47</v>
      </c>
      <c r="F727" t="s">
        <v>14</v>
      </c>
      <c r="G727" s="2">
        <v>4</v>
      </c>
      <c r="H727" s="3">
        <v>300</v>
      </c>
      <c r="I727" s="3">
        <v>1200</v>
      </c>
      <c r="J727" s="2" t="str">
        <f t="shared" si="11"/>
        <v>45–54</v>
      </c>
      <c r="K727" t="str" cm="1">
        <f t="array" ref="K727">_xlfn.IFS(
  OR(MONTH(B727)=12, MONTH(B727)=1, MONTH(B727)=2), "Winter",
  OR(MONTH(B727)=3, MONTH(B727)=4, MONTH(B727)=5), "Spring",
  OR(MONTH(B727)=6, MONTH(B727)=7, MONTH(B727)=8), "Summer",
  OR(MONTH(B727)=9, MONTH(B727)=10, MONTH(B727)=11), "Fall"
)</f>
        <v>Summer</v>
      </c>
    </row>
    <row r="728" spans="1:11">
      <c r="A728">
        <v>727</v>
      </c>
      <c r="B728" s="1">
        <v>45099</v>
      </c>
      <c r="C728" t="s">
        <v>740</v>
      </c>
      <c r="D728" t="s">
        <v>10</v>
      </c>
      <c r="E728" s="2">
        <v>55</v>
      </c>
      <c r="F728" t="s">
        <v>11</v>
      </c>
      <c r="G728" s="2">
        <v>3</v>
      </c>
      <c r="H728" s="3">
        <v>300</v>
      </c>
      <c r="I728" s="3">
        <v>900</v>
      </c>
      <c r="J728" s="2" t="str">
        <f t="shared" si="11"/>
        <v>55–64</v>
      </c>
      <c r="K728" t="str" cm="1">
        <f t="array" ref="K728">_xlfn.IFS(
  OR(MONTH(B728)=12, MONTH(B728)=1, MONTH(B728)=2), "Winter",
  OR(MONTH(B728)=3, MONTH(B728)=4, MONTH(B728)=5), "Spring",
  OR(MONTH(B728)=6, MONTH(B728)=7, MONTH(B728)=8), "Summer",
  OR(MONTH(B728)=9, MONTH(B728)=10, MONTH(B728)=11), "Fall"
)</f>
        <v>Summer</v>
      </c>
    </row>
    <row r="729" spans="1:11">
      <c r="A729">
        <v>728</v>
      </c>
      <c r="B729" s="1">
        <v>45121</v>
      </c>
      <c r="C729" t="s">
        <v>741</v>
      </c>
      <c r="D729" t="s">
        <v>10</v>
      </c>
      <c r="E729" s="2">
        <v>51</v>
      </c>
      <c r="F729" t="s">
        <v>16</v>
      </c>
      <c r="G729" s="2">
        <v>3</v>
      </c>
      <c r="H729" s="3">
        <v>50</v>
      </c>
      <c r="I729" s="3">
        <v>150</v>
      </c>
      <c r="J729" s="2" t="str">
        <f t="shared" si="11"/>
        <v>45–54</v>
      </c>
      <c r="K729" t="str" cm="1">
        <f t="array" ref="K729">_xlfn.IFS(
  OR(MONTH(B729)=12, MONTH(B729)=1, MONTH(B729)=2), "Winter",
  OR(MONTH(B729)=3, MONTH(B729)=4, MONTH(B729)=5), "Spring",
  OR(MONTH(B729)=6, MONTH(B729)=7, MONTH(B729)=8), "Summer",
  OR(MONTH(B729)=9, MONTH(B729)=10, MONTH(B729)=11), "Fall"
)</f>
        <v>Summer</v>
      </c>
    </row>
    <row r="730" spans="1:11">
      <c r="A730">
        <v>729</v>
      </c>
      <c r="B730" s="1">
        <v>45069</v>
      </c>
      <c r="C730" t="s">
        <v>742</v>
      </c>
      <c r="D730" t="s">
        <v>10</v>
      </c>
      <c r="E730" s="2">
        <v>29</v>
      </c>
      <c r="F730" t="s">
        <v>14</v>
      </c>
      <c r="G730" s="2">
        <v>4</v>
      </c>
      <c r="H730" s="3">
        <v>300</v>
      </c>
      <c r="I730" s="3">
        <v>1200</v>
      </c>
      <c r="J730" s="2" t="str">
        <f t="shared" si="11"/>
        <v>25–34</v>
      </c>
      <c r="K730" t="str" cm="1">
        <f t="array" ref="K730">_xlfn.IFS(
  OR(MONTH(B730)=12, MONTH(B730)=1, MONTH(B730)=2), "Winter",
  OR(MONTH(B730)=3, MONTH(B730)=4, MONTH(B730)=5), "Spring",
  OR(MONTH(B730)=6, MONTH(B730)=7, MONTH(B730)=8), "Summer",
  OR(MONTH(B730)=9, MONTH(B730)=10, MONTH(B730)=11), "Fall"
)</f>
        <v>Spring</v>
      </c>
    </row>
    <row r="731" spans="1:11">
      <c r="A731">
        <v>730</v>
      </c>
      <c r="B731" s="1">
        <v>45142</v>
      </c>
      <c r="C731" t="s">
        <v>743</v>
      </c>
      <c r="D731" t="s">
        <v>13</v>
      </c>
      <c r="E731" s="2">
        <v>36</v>
      </c>
      <c r="F731" t="s">
        <v>14</v>
      </c>
      <c r="G731" s="2">
        <v>2</v>
      </c>
      <c r="H731" s="3">
        <v>25</v>
      </c>
      <c r="I731" s="3">
        <v>50</v>
      </c>
      <c r="J731" s="2" t="str">
        <f t="shared" si="11"/>
        <v>35–44</v>
      </c>
      <c r="K731" t="str" cm="1">
        <f t="array" ref="K731">_xlfn.IFS(
  OR(MONTH(B731)=12, MONTH(B731)=1, MONTH(B731)=2), "Winter",
  OR(MONTH(B731)=3, MONTH(B731)=4, MONTH(B731)=5), "Spring",
  OR(MONTH(B731)=6, MONTH(B731)=7, MONTH(B731)=8), "Summer",
  OR(MONTH(B731)=9, MONTH(B731)=10, MONTH(B731)=11), "Fall"
)</f>
        <v>Summer</v>
      </c>
    </row>
    <row r="732" spans="1:11">
      <c r="A732">
        <v>731</v>
      </c>
      <c r="B732" s="1">
        <v>45056</v>
      </c>
      <c r="C732" t="s">
        <v>744</v>
      </c>
      <c r="D732" t="s">
        <v>10</v>
      </c>
      <c r="E732" s="2">
        <v>54</v>
      </c>
      <c r="F732" t="s">
        <v>14</v>
      </c>
      <c r="G732" s="2">
        <v>4</v>
      </c>
      <c r="H732" s="3">
        <v>500</v>
      </c>
      <c r="I732" s="3">
        <v>2000</v>
      </c>
      <c r="J732" s="2" t="str">
        <f t="shared" si="11"/>
        <v>45–54</v>
      </c>
      <c r="K732" t="str" cm="1">
        <f t="array" ref="K732">_xlfn.IFS(
  OR(MONTH(B732)=12, MONTH(B732)=1, MONTH(B732)=2), "Winter",
  OR(MONTH(B732)=3, MONTH(B732)=4, MONTH(B732)=5), "Spring",
  OR(MONTH(B732)=6, MONTH(B732)=7, MONTH(B732)=8), "Summer",
  OR(MONTH(B732)=9, MONTH(B732)=10, MONTH(B732)=11), "Fall"
)</f>
        <v>Spring</v>
      </c>
    </row>
    <row r="733" spans="1:11">
      <c r="A733">
        <v>732</v>
      </c>
      <c r="B733" s="1">
        <v>44968</v>
      </c>
      <c r="C733" t="s">
        <v>745</v>
      </c>
      <c r="D733" t="s">
        <v>10</v>
      </c>
      <c r="E733" s="2">
        <v>61</v>
      </c>
      <c r="F733" t="s">
        <v>16</v>
      </c>
      <c r="G733" s="2">
        <v>2</v>
      </c>
      <c r="H733" s="3">
        <v>500</v>
      </c>
      <c r="I733" s="3">
        <v>1000</v>
      </c>
      <c r="J733" s="2" t="str">
        <f t="shared" si="11"/>
        <v>55–64</v>
      </c>
      <c r="K733" t="str" cm="1">
        <f t="array" ref="K733">_xlfn.IFS(
  OR(MONTH(B733)=12, MONTH(B733)=1, MONTH(B733)=2), "Winter",
  OR(MONTH(B733)=3, MONTH(B733)=4, MONTH(B733)=5), "Spring",
  OR(MONTH(B733)=6, MONTH(B733)=7, MONTH(B733)=8), "Summer",
  OR(MONTH(B733)=9, MONTH(B733)=10, MONTH(B733)=11), "Fall"
)</f>
        <v>Winter</v>
      </c>
    </row>
    <row r="734" spans="1:11">
      <c r="A734">
        <v>733</v>
      </c>
      <c r="B734" s="1">
        <v>45167</v>
      </c>
      <c r="C734" t="s">
        <v>746</v>
      </c>
      <c r="D734" t="s">
        <v>10</v>
      </c>
      <c r="E734" s="2">
        <v>34</v>
      </c>
      <c r="F734" t="s">
        <v>11</v>
      </c>
      <c r="G734" s="2">
        <v>1</v>
      </c>
      <c r="H734" s="3">
        <v>30</v>
      </c>
      <c r="I734" s="3">
        <v>30</v>
      </c>
      <c r="J734" s="2" t="str">
        <f t="shared" si="11"/>
        <v>25–34</v>
      </c>
      <c r="K734" t="str" cm="1">
        <f t="array" ref="K734">_xlfn.IFS(
  OR(MONTH(B734)=12, MONTH(B734)=1, MONTH(B734)=2), "Winter",
  OR(MONTH(B734)=3, MONTH(B734)=4, MONTH(B734)=5), "Spring",
  OR(MONTH(B734)=6, MONTH(B734)=7, MONTH(B734)=8), "Summer",
  OR(MONTH(B734)=9, MONTH(B734)=10, MONTH(B734)=11), "Fall"
)</f>
        <v>Summer</v>
      </c>
    </row>
    <row r="735" spans="1:11">
      <c r="A735">
        <v>734</v>
      </c>
      <c r="B735" s="1">
        <v>44936</v>
      </c>
      <c r="C735" t="s">
        <v>747</v>
      </c>
      <c r="D735" t="s">
        <v>13</v>
      </c>
      <c r="E735" s="2">
        <v>27</v>
      </c>
      <c r="F735" t="s">
        <v>14</v>
      </c>
      <c r="G735" s="2">
        <v>1</v>
      </c>
      <c r="H735" s="3">
        <v>30</v>
      </c>
      <c r="I735" s="3">
        <v>30</v>
      </c>
      <c r="J735" s="2" t="str">
        <f t="shared" si="11"/>
        <v>25–34</v>
      </c>
      <c r="K735" t="str" cm="1">
        <f t="array" ref="K735">_xlfn.IFS(
  OR(MONTH(B735)=12, MONTH(B735)=1, MONTH(B735)=2), "Winter",
  OR(MONTH(B735)=3, MONTH(B735)=4, MONTH(B735)=5), "Spring",
  OR(MONTH(B735)=6, MONTH(B735)=7, MONTH(B735)=8), "Summer",
  OR(MONTH(B735)=9, MONTH(B735)=10, MONTH(B735)=11), "Fall"
)</f>
        <v>Winter</v>
      </c>
    </row>
    <row r="736" spans="1:11">
      <c r="A736">
        <v>735</v>
      </c>
      <c r="B736" s="1">
        <v>45203</v>
      </c>
      <c r="C736" t="s">
        <v>748</v>
      </c>
      <c r="D736" t="s">
        <v>13</v>
      </c>
      <c r="E736" s="2">
        <v>64</v>
      </c>
      <c r="F736" t="s">
        <v>14</v>
      </c>
      <c r="G736" s="2">
        <v>4</v>
      </c>
      <c r="H736" s="3">
        <v>500</v>
      </c>
      <c r="I736" s="3">
        <v>2000</v>
      </c>
      <c r="J736" s="2" t="str">
        <f t="shared" si="11"/>
        <v>55–64</v>
      </c>
      <c r="K736" t="str" cm="1">
        <f t="array" ref="K736">_xlfn.IFS(
  OR(MONTH(B736)=12, MONTH(B736)=1, MONTH(B736)=2), "Winter",
  OR(MONTH(B736)=3, MONTH(B736)=4, MONTH(B736)=5), "Spring",
  OR(MONTH(B736)=6, MONTH(B736)=7, MONTH(B736)=8), "Summer",
  OR(MONTH(B736)=9, MONTH(B736)=10, MONTH(B736)=11), "Fall"
)</f>
        <v>Fall</v>
      </c>
    </row>
    <row r="737" spans="1:11">
      <c r="A737">
        <v>736</v>
      </c>
      <c r="B737" s="1">
        <v>44953</v>
      </c>
      <c r="C737" t="s">
        <v>749</v>
      </c>
      <c r="D737" t="s">
        <v>10</v>
      </c>
      <c r="E737" s="2">
        <v>29</v>
      </c>
      <c r="F737" t="s">
        <v>14</v>
      </c>
      <c r="G737" s="2">
        <v>4</v>
      </c>
      <c r="H737" s="3">
        <v>25</v>
      </c>
      <c r="I737" s="3">
        <v>100</v>
      </c>
      <c r="J737" s="2" t="str">
        <f t="shared" si="11"/>
        <v>25–34</v>
      </c>
      <c r="K737" t="str" cm="1">
        <f t="array" ref="K737">_xlfn.IFS(
  OR(MONTH(B737)=12, MONTH(B737)=1, MONTH(B737)=2), "Winter",
  OR(MONTH(B737)=3, MONTH(B737)=4, MONTH(B737)=5), "Spring",
  OR(MONTH(B737)=6, MONTH(B737)=7, MONTH(B737)=8), "Summer",
  OR(MONTH(B737)=9, MONTH(B737)=10, MONTH(B737)=11), "Fall"
)</f>
        <v>Winter</v>
      </c>
    </row>
    <row r="738" spans="1:11">
      <c r="A738">
        <v>737</v>
      </c>
      <c r="B738" s="1">
        <v>45106</v>
      </c>
      <c r="C738" t="s">
        <v>750</v>
      </c>
      <c r="D738" t="s">
        <v>13</v>
      </c>
      <c r="E738" s="2">
        <v>33</v>
      </c>
      <c r="F738" t="s">
        <v>14</v>
      </c>
      <c r="G738" s="2">
        <v>1</v>
      </c>
      <c r="H738" s="3">
        <v>50</v>
      </c>
      <c r="I738" s="3">
        <v>50</v>
      </c>
      <c r="J738" s="2" t="str">
        <f t="shared" si="11"/>
        <v>25–34</v>
      </c>
      <c r="K738" t="str" cm="1">
        <f t="array" ref="K738">_xlfn.IFS(
  OR(MONTH(B738)=12, MONTH(B738)=1, MONTH(B738)=2), "Winter",
  OR(MONTH(B738)=3, MONTH(B738)=4, MONTH(B738)=5), "Spring",
  OR(MONTH(B738)=6, MONTH(B738)=7, MONTH(B738)=8), "Summer",
  OR(MONTH(B738)=9, MONTH(B738)=10, MONTH(B738)=11), "Fall"
)</f>
        <v>Summer</v>
      </c>
    </row>
    <row r="739" spans="1:11">
      <c r="A739">
        <v>738</v>
      </c>
      <c r="B739" s="1">
        <v>45041</v>
      </c>
      <c r="C739" t="s">
        <v>751</v>
      </c>
      <c r="D739" t="s">
        <v>10</v>
      </c>
      <c r="E739" s="2">
        <v>41</v>
      </c>
      <c r="F739" t="s">
        <v>14</v>
      </c>
      <c r="G739" s="2">
        <v>2</v>
      </c>
      <c r="H739" s="3">
        <v>50</v>
      </c>
      <c r="I739" s="3">
        <v>100</v>
      </c>
      <c r="J739" s="2" t="str">
        <f t="shared" si="11"/>
        <v>35–44</v>
      </c>
      <c r="K739" t="str" cm="1">
        <f t="array" ref="K739">_xlfn.IFS(
  OR(MONTH(B739)=12, MONTH(B739)=1, MONTH(B739)=2), "Winter",
  OR(MONTH(B739)=3, MONTH(B739)=4, MONTH(B739)=5), "Spring",
  OR(MONTH(B739)=6, MONTH(B739)=7, MONTH(B739)=8), "Summer",
  OR(MONTH(B739)=9, MONTH(B739)=10, MONTH(B739)=11), "Fall"
)</f>
        <v>Spring</v>
      </c>
    </row>
    <row r="740" spans="1:11">
      <c r="A740">
        <v>739</v>
      </c>
      <c r="B740" s="1">
        <v>45259</v>
      </c>
      <c r="C740" t="s">
        <v>752</v>
      </c>
      <c r="D740" t="s">
        <v>10</v>
      </c>
      <c r="E740" s="2">
        <v>36</v>
      </c>
      <c r="F740" t="s">
        <v>11</v>
      </c>
      <c r="G740" s="2">
        <v>1</v>
      </c>
      <c r="H740" s="3">
        <v>25</v>
      </c>
      <c r="I740" s="3">
        <v>25</v>
      </c>
      <c r="J740" s="2" t="str">
        <f t="shared" si="11"/>
        <v>35–44</v>
      </c>
      <c r="K740" t="str" cm="1">
        <f t="array" ref="K740">_xlfn.IFS(
  OR(MONTH(B740)=12, MONTH(B740)=1, MONTH(B740)=2), "Winter",
  OR(MONTH(B740)=3, MONTH(B740)=4, MONTH(B740)=5), "Spring",
  OR(MONTH(B740)=6, MONTH(B740)=7, MONTH(B740)=8), "Summer",
  OR(MONTH(B740)=9, MONTH(B740)=10, MONTH(B740)=11), "Fall"
)</f>
        <v>Fall</v>
      </c>
    </row>
    <row r="741" spans="1:11">
      <c r="A741">
        <v>740</v>
      </c>
      <c r="B741" s="1">
        <v>44962</v>
      </c>
      <c r="C741" t="s">
        <v>753</v>
      </c>
      <c r="D741" t="s">
        <v>13</v>
      </c>
      <c r="E741" s="2">
        <v>25</v>
      </c>
      <c r="F741" t="s">
        <v>11</v>
      </c>
      <c r="G741" s="2">
        <v>4</v>
      </c>
      <c r="H741" s="3">
        <v>50</v>
      </c>
      <c r="I741" s="3">
        <v>200</v>
      </c>
      <c r="J741" s="2" t="str">
        <f t="shared" si="11"/>
        <v>25–34</v>
      </c>
      <c r="K741" t="str" cm="1">
        <f t="array" ref="K741">_xlfn.IFS(
  OR(MONTH(B741)=12, MONTH(B741)=1, MONTH(B741)=2), "Winter",
  OR(MONTH(B741)=3, MONTH(B741)=4, MONTH(B741)=5), "Spring",
  OR(MONTH(B741)=6, MONTH(B741)=7, MONTH(B741)=8), "Summer",
  OR(MONTH(B741)=9, MONTH(B741)=10, MONTH(B741)=11), "Fall"
)</f>
        <v>Winter</v>
      </c>
    </row>
    <row r="742" spans="1:11">
      <c r="A742">
        <v>741</v>
      </c>
      <c r="B742" s="1">
        <v>45260</v>
      </c>
      <c r="C742" t="s">
        <v>754</v>
      </c>
      <c r="D742" t="s">
        <v>10</v>
      </c>
      <c r="E742" s="2">
        <v>48</v>
      </c>
      <c r="F742" t="s">
        <v>14</v>
      </c>
      <c r="G742" s="2">
        <v>1</v>
      </c>
      <c r="H742" s="3">
        <v>300</v>
      </c>
      <c r="I742" s="3">
        <v>300</v>
      </c>
      <c r="J742" s="2" t="str">
        <f t="shared" si="11"/>
        <v>45–54</v>
      </c>
      <c r="K742" t="str" cm="1">
        <f t="array" ref="K742">_xlfn.IFS(
  OR(MONTH(B742)=12, MONTH(B742)=1, MONTH(B742)=2), "Winter",
  OR(MONTH(B742)=3, MONTH(B742)=4, MONTH(B742)=5), "Spring",
  OR(MONTH(B742)=6, MONTH(B742)=7, MONTH(B742)=8), "Summer",
  OR(MONTH(B742)=9, MONTH(B742)=10, MONTH(B742)=11), "Fall"
)</f>
        <v>Fall</v>
      </c>
    </row>
    <row r="743" spans="1:11">
      <c r="A743">
        <v>742</v>
      </c>
      <c r="B743" s="1">
        <v>44947</v>
      </c>
      <c r="C743" t="s">
        <v>755</v>
      </c>
      <c r="D743" t="s">
        <v>13</v>
      </c>
      <c r="E743" s="2">
        <v>38</v>
      </c>
      <c r="F743" t="s">
        <v>16</v>
      </c>
      <c r="G743" s="2">
        <v>4</v>
      </c>
      <c r="H743" s="3">
        <v>500</v>
      </c>
      <c r="I743" s="3">
        <v>2000</v>
      </c>
      <c r="J743" s="2" t="str">
        <f t="shared" si="11"/>
        <v>35–44</v>
      </c>
      <c r="K743" t="str" cm="1">
        <f t="array" ref="K743">_xlfn.IFS(
  OR(MONTH(B743)=12, MONTH(B743)=1, MONTH(B743)=2), "Winter",
  OR(MONTH(B743)=3, MONTH(B743)=4, MONTH(B743)=5), "Spring",
  OR(MONTH(B743)=6, MONTH(B743)=7, MONTH(B743)=8), "Summer",
  OR(MONTH(B743)=9, MONTH(B743)=10, MONTH(B743)=11), "Fall"
)</f>
        <v>Winter</v>
      </c>
    </row>
    <row r="744" spans="1:11">
      <c r="A744">
        <v>743</v>
      </c>
      <c r="B744" s="1">
        <v>44942</v>
      </c>
      <c r="C744" t="s">
        <v>756</v>
      </c>
      <c r="D744" t="s">
        <v>13</v>
      </c>
      <c r="E744" s="2">
        <v>34</v>
      </c>
      <c r="F744" t="s">
        <v>11</v>
      </c>
      <c r="G744" s="2">
        <v>4</v>
      </c>
      <c r="H744" s="3">
        <v>500</v>
      </c>
      <c r="I744" s="3">
        <v>2000</v>
      </c>
      <c r="J744" s="2" t="str">
        <f t="shared" si="11"/>
        <v>25–34</v>
      </c>
      <c r="K744" t="str" cm="1">
        <f t="array" ref="K744">_xlfn.IFS(
  OR(MONTH(B744)=12, MONTH(B744)=1, MONTH(B744)=2), "Winter",
  OR(MONTH(B744)=3, MONTH(B744)=4, MONTH(B744)=5), "Spring",
  OR(MONTH(B744)=6, MONTH(B744)=7, MONTH(B744)=8), "Summer",
  OR(MONTH(B744)=9, MONTH(B744)=10, MONTH(B744)=11), "Fall"
)</f>
        <v>Winter</v>
      </c>
    </row>
    <row r="745" spans="1:11">
      <c r="A745">
        <v>744</v>
      </c>
      <c r="B745" s="1">
        <v>45053</v>
      </c>
      <c r="C745" t="s">
        <v>757</v>
      </c>
      <c r="D745" t="s">
        <v>10</v>
      </c>
      <c r="E745" s="2">
        <v>40</v>
      </c>
      <c r="F745" t="s">
        <v>16</v>
      </c>
      <c r="G745" s="2">
        <v>1</v>
      </c>
      <c r="H745" s="3">
        <v>25</v>
      </c>
      <c r="I745" s="3">
        <v>25</v>
      </c>
      <c r="J745" s="2" t="str">
        <f t="shared" si="11"/>
        <v>35–44</v>
      </c>
      <c r="K745" t="str" cm="1">
        <f t="array" ref="K745">_xlfn.IFS(
  OR(MONTH(B745)=12, MONTH(B745)=1, MONTH(B745)=2), "Winter",
  OR(MONTH(B745)=3, MONTH(B745)=4, MONTH(B745)=5), "Spring",
  OR(MONTH(B745)=6, MONTH(B745)=7, MONTH(B745)=8), "Summer",
  OR(MONTH(B745)=9, MONTH(B745)=10, MONTH(B745)=11), "Fall"
)</f>
        <v>Spring</v>
      </c>
    </row>
    <row r="746" spans="1:11">
      <c r="A746">
        <v>745</v>
      </c>
      <c r="B746" s="1">
        <v>45029</v>
      </c>
      <c r="C746" t="s">
        <v>758</v>
      </c>
      <c r="D746" t="s">
        <v>10</v>
      </c>
      <c r="E746" s="2">
        <v>54</v>
      </c>
      <c r="F746" t="s">
        <v>11</v>
      </c>
      <c r="G746" s="2">
        <v>2</v>
      </c>
      <c r="H746" s="3">
        <v>50</v>
      </c>
      <c r="I746" s="3">
        <v>100</v>
      </c>
      <c r="J746" s="2" t="str">
        <f t="shared" si="11"/>
        <v>45–54</v>
      </c>
      <c r="K746" t="str" cm="1">
        <f t="array" ref="K746">_xlfn.IFS(
  OR(MONTH(B746)=12, MONTH(B746)=1, MONTH(B746)=2), "Winter",
  OR(MONTH(B746)=3, MONTH(B746)=4, MONTH(B746)=5), "Spring",
  OR(MONTH(B746)=6, MONTH(B746)=7, MONTH(B746)=8), "Summer",
  OR(MONTH(B746)=9, MONTH(B746)=10, MONTH(B746)=11), "Fall"
)</f>
        <v>Spring</v>
      </c>
    </row>
    <row r="747" spans="1:11">
      <c r="A747">
        <v>746</v>
      </c>
      <c r="B747" s="1">
        <v>44937</v>
      </c>
      <c r="C747" t="s">
        <v>759</v>
      </c>
      <c r="D747" t="s">
        <v>13</v>
      </c>
      <c r="E747" s="2">
        <v>33</v>
      </c>
      <c r="F747" t="s">
        <v>14</v>
      </c>
      <c r="G747" s="2">
        <v>3</v>
      </c>
      <c r="H747" s="3">
        <v>30</v>
      </c>
      <c r="I747" s="3">
        <v>90</v>
      </c>
      <c r="J747" s="2" t="str">
        <f t="shared" si="11"/>
        <v>25–34</v>
      </c>
      <c r="K747" t="str" cm="1">
        <f t="array" ref="K747">_xlfn.IFS(
  OR(MONTH(B747)=12, MONTH(B747)=1, MONTH(B747)=2), "Winter",
  OR(MONTH(B747)=3, MONTH(B747)=4, MONTH(B747)=5), "Spring",
  OR(MONTH(B747)=6, MONTH(B747)=7, MONTH(B747)=8), "Summer",
  OR(MONTH(B747)=9, MONTH(B747)=10, MONTH(B747)=11), "Fall"
)</f>
        <v>Winter</v>
      </c>
    </row>
    <row r="748" spans="1:11">
      <c r="A748">
        <v>747</v>
      </c>
      <c r="B748" s="1">
        <v>45245</v>
      </c>
      <c r="C748" t="s">
        <v>760</v>
      </c>
      <c r="D748" t="s">
        <v>10</v>
      </c>
      <c r="E748" s="2">
        <v>23</v>
      </c>
      <c r="F748" t="s">
        <v>11</v>
      </c>
      <c r="G748" s="2">
        <v>1</v>
      </c>
      <c r="H748" s="3">
        <v>30</v>
      </c>
      <c r="I748" s="3">
        <v>30</v>
      </c>
      <c r="J748" s="2" t="str">
        <f t="shared" si="11"/>
        <v>18–24</v>
      </c>
      <c r="K748" t="str" cm="1">
        <f t="array" ref="K748">_xlfn.IFS(
  OR(MONTH(B748)=12, MONTH(B748)=1, MONTH(B748)=2), "Winter",
  OR(MONTH(B748)=3, MONTH(B748)=4, MONTH(B748)=5), "Spring",
  OR(MONTH(B748)=6, MONTH(B748)=7, MONTH(B748)=8), "Summer",
  OR(MONTH(B748)=9, MONTH(B748)=10, MONTH(B748)=11), "Fall"
)</f>
        <v>Fall</v>
      </c>
    </row>
    <row r="749" spans="1:11">
      <c r="A749">
        <v>748</v>
      </c>
      <c r="B749" s="1">
        <v>45005</v>
      </c>
      <c r="C749" t="s">
        <v>761</v>
      </c>
      <c r="D749" t="s">
        <v>10</v>
      </c>
      <c r="E749" s="2">
        <v>25</v>
      </c>
      <c r="F749" t="s">
        <v>14</v>
      </c>
      <c r="G749" s="2">
        <v>3</v>
      </c>
      <c r="H749" s="3">
        <v>50</v>
      </c>
      <c r="I749" s="3">
        <v>150</v>
      </c>
      <c r="J749" s="2" t="str">
        <f t="shared" si="11"/>
        <v>25–34</v>
      </c>
      <c r="K749" t="str" cm="1">
        <f t="array" ref="K749">_xlfn.IFS(
  OR(MONTH(B749)=12, MONTH(B749)=1, MONTH(B749)=2), "Winter",
  OR(MONTH(B749)=3, MONTH(B749)=4, MONTH(B749)=5), "Spring",
  OR(MONTH(B749)=6, MONTH(B749)=7, MONTH(B749)=8), "Summer",
  OR(MONTH(B749)=9, MONTH(B749)=10, MONTH(B749)=11), "Fall"
)</f>
        <v>Spring</v>
      </c>
    </row>
    <row r="750" spans="1:11">
      <c r="A750">
        <v>749</v>
      </c>
      <c r="B750" s="1">
        <v>45049</v>
      </c>
      <c r="C750" t="s">
        <v>762</v>
      </c>
      <c r="D750" t="s">
        <v>10</v>
      </c>
      <c r="E750" s="2">
        <v>42</v>
      </c>
      <c r="F750" t="s">
        <v>11</v>
      </c>
      <c r="G750" s="2">
        <v>1</v>
      </c>
      <c r="H750" s="3">
        <v>30</v>
      </c>
      <c r="I750" s="3">
        <v>30</v>
      </c>
      <c r="J750" s="2" t="str">
        <f t="shared" si="11"/>
        <v>35–44</v>
      </c>
      <c r="K750" t="str" cm="1">
        <f t="array" ref="K750">_xlfn.IFS(
  OR(MONTH(B750)=12, MONTH(B750)=1, MONTH(B750)=2), "Winter",
  OR(MONTH(B750)=3, MONTH(B750)=4, MONTH(B750)=5), "Spring",
  OR(MONTH(B750)=6, MONTH(B750)=7, MONTH(B750)=8), "Summer",
  OR(MONTH(B750)=9, MONTH(B750)=10, MONTH(B750)=11), "Fall"
)</f>
        <v>Spring</v>
      </c>
    </row>
    <row r="751" spans="1:11">
      <c r="A751">
        <v>750</v>
      </c>
      <c r="B751" s="1">
        <v>44991</v>
      </c>
      <c r="C751" t="s">
        <v>763</v>
      </c>
      <c r="D751" t="s">
        <v>13</v>
      </c>
      <c r="E751" s="2">
        <v>35</v>
      </c>
      <c r="F751" t="s">
        <v>14</v>
      </c>
      <c r="G751" s="2">
        <v>3</v>
      </c>
      <c r="H751" s="3">
        <v>25</v>
      </c>
      <c r="I751" s="3">
        <v>75</v>
      </c>
      <c r="J751" s="2" t="str">
        <f t="shared" si="11"/>
        <v>35–44</v>
      </c>
      <c r="K751" t="str" cm="1">
        <f t="array" ref="K751">_xlfn.IFS(
  OR(MONTH(B751)=12, MONTH(B751)=1, MONTH(B751)=2), "Winter",
  OR(MONTH(B751)=3, MONTH(B751)=4, MONTH(B751)=5), "Spring",
  OR(MONTH(B751)=6, MONTH(B751)=7, MONTH(B751)=8), "Summer",
  OR(MONTH(B751)=9, MONTH(B751)=10, MONTH(B751)=11), "Fall"
)</f>
        <v>Spring</v>
      </c>
    </row>
    <row r="752" spans="1:11">
      <c r="A752">
        <v>751</v>
      </c>
      <c r="B752" s="1">
        <v>45169</v>
      </c>
      <c r="C752" t="s">
        <v>764</v>
      </c>
      <c r="D752" t="s">
        <v>13</v>
      </c>
      <c r="E752" s="2">
        <v>42</v>
      </c>
      <c r="F752" t="s">
        <v>14</v>
      </c>
      <c r="G752" s="2">
        <v>2</v>
      </c>
      <c r="H752" s="3">
        <v>25</v>
      </c>
      <c r="I752" s="3">
        <v>50</v>
      </c>
      <c r="J752" s="2" t="str">
        <f t="shared" si="11"/>
        <v>35–44</v>
      </c>
      <c r="K752" t="str" cm="1">
        <f t="array" ref="K752">_xlfn.IFS(
  OR(MONTH(B752)=12, MONTH(B752)=1, MONTH(B752)=2), "Winter",
  OR(MONTH(B752)=3, MONTH(B752)=4, MONTH(B752)=5), "Spring",
  OR(MONTH(B752)=6, MONTH(B752)=7, MONTH(B752)=8), "Summer",
  OR(MONTH(B752)=9, MONTH(B752)=10, MONTH(B752)=11), "Fall"
)</f>
        <v>Summer</v>
      </c>
    </row>
    <row r="753" spans="1:11">
      <c r="A753">
        <v>752</v>
      </c>
      <c r="B753" s="1">
        <v>45269</v>
      </c>
      <c r="C753" t="s">
        <v>765</v>
      </c>
      <c r="D753" t="s">
        <v>10</v>
      </c>
      <c r="E753" s="2">
        <v>29</v>
      </c>
      <c r="F753" t="s">
        <v>14</v>
      </c>
      <c r="G753" s="2">
        <v>2</v>
      </c>
      <c r="H753" s="3">
        <v>50</v>
      </c>
      <c r="I753" s="3">
        <v>100</v>
      </c>
      <c r="J753" s="2" t="str">
        <f t="shared" si="11"/>
        <v>25–34</v>
      </c>
      <c r="K753" t="str" cm="1">
        <f t="array" ref="K753">_xlfn.IFS(
  OR(MONTH(B753)=12, MONTH(B753)=1, MONTH(B753)=2), "Winter",
  OR(MONTH(B753)=3, MONTH(B753)=4, MONTH(B753)=5), "Spring",
  OR(MONTH(B753)=6, MONTH(B753)=7, MONTH(B753)=8), "Summer",
  OR(MONTH(B753)=9, MONTH(B753)=10, MONTH(B753)=11), "Fall"
)</f>
        <v>Winter</v>
      </c>
    </row>
    <row r="754" spans="1:11">
      <c r="A754">
        <v>753</v>
      </c>
      <c r="B754" s="1">
        <v>44985</v>
      </c>
      <c r="C754" t="s">
        <v>766</v>
      </c>
      <c r="D754" t="s">
        <v>13</v>
      </c>
      <c r="E754" s="2">
        <v>32</v>
      </c>
      <c r="F754" t="s">
        <v>14</v>
      </c>
      <c r="G754" s="2">
        <v>1</v>
      </c>
      <c r="H754" s="3">
        <v>30</v>
      </c>
      <c r="I754" s="3">
        <v>30</v>
      </c>
      <c r="J754" s="2" t="str">
        <f t="shared" si="11"/>
        <v>25–34</v>
      </c>
      <c r="K754" t="str" cm="1">
        <f t="array" ref="K754">_xlfn.IFS(
  OR(MONTH(B754)=12, MONTH(B754)=1, MONTH(B754)=2), "Winter",
  OR(MONTH(B754)=3, MONTH(B754)=4, MONTH(B754)=5), "Spring",
  OR(MONTH(B754)=6, MONTH(B754)=7, MONTH(B754)=8), "Summer",
  OR(MONTH(B754)=9, MONTH(B754)=10, MONTH(B754)=11), "Fall"
)</f>
        <v>Winter</v>
      </c>
    </row>
    <row r="755" spans="1:11">
      <c r="A755">
        <v>754</v>
      </c>
      <c r="B755" s="1">
        <v>45215</v>
      </c>
      <c r="C755" t="s">
        <v>767</v>
      </c>
      <c r="D755" t="s">
        <v>13</v>
      </c>
      <c r="E755" s="2">
        <v>43</v>
      </c>
      <c r="F755" t="s">
        <v>16</v>
      </c>
      <c r="G755" s="2">
        <v>4</v>
      </c>
      <c r="H755" s="3">
        <v>25</v>
      </c>
      <c r="I755" s="3">
        <v>100</v>
      </c>
      <c r="J755" s="2" t="str">
        <f t="shared" si="11"/>
        <v>35–44</v>
      </c>
      <c r="K755" t="str" cm="1">
        <f t="array" ref="K755">_xlfn.IFS(
  OR(MONTH(B755)=12, MONTH(B755)=1, MONTH(B755)=2), "Winter",
  OR(MONTH(B755)=3, MONTH(B755)=4, MONTH(B755)=5), "Spring",
  OR(MONTH(B755)=6, MONTH(B755)=7, MONTH(B755)=8), "Summer",
  OR(MONTH(B755)=9, MONTH(B755)=10, MONTH(B755)=11), "Fall"
)</f>
        <v>Fall</v>
      </c>
    </row>
    <row r="756" spans="1:11">
      <c r="A756">
        <v>755</v>
      </c>
      <c r="B756" s="1">
        <v>45038</v>
      </c>
      <c r="C756" t="s">
        <v>768</v>
      </c>
      <c r="D756" t="s">
        <v>13</v>
      </c>
      <c r="E756" s="2">
        <v>58</v>
      </c>
      <c r="F756" t="s">
        <v>14</v>
      </c>
      <c r="G756" s="2">
        <v>3</v>
      </c>
      <c r="H756" s="3">
        <v>25</v>
      </c>
      <c r="I756" s="3">
        <v>75</v>
      </c>
      <c r="J756" s="2" t="str">
        <f t="shared" si="11"/>
        <v>55–64</v>
      </c>
      <c r="K756" t="str" cm="1">
        <f t="array" ref="K756">_xlfn.IFS(
  OR(MONTH(B756)=12, MONTH(B756)=1, MONTH(B756)=2), "Winter",
  OR(MONTH(B756)=3, MONTH(B756)=4, MONTH(B756)=5), "Spring",
  OR(MONTH(B756)=6, MONTH(B756)=7, MONTH(B756)=8), "Summer",
  OR(MONTH(B756)=9, MONTH(B756)=10, MONTH(B756)=11), "Fall"
)</f>
        <v>Spring</v>
      </c>
    </row>
    <row r="757" spans="1:11">
      <c r="A757">
        <v>756</v>
      </c>
      <c r="B757" s="1">
        <v>45165</v>
      </c>
      <c r="C757" t="s">
        <v>769</v>
      </c>
      <c r="D757" t="s">
        <v>13</v>
      </c>
      <c r="E757" s="2">
        <v>62</v>
      </c>
      <c r="F757" t="s">
        <v>16</v>
      </c>
      <c r="G757" s="2">
        <v>4</v>
      </c>
      <c r="H757" s="3">
        <v>300</v>
      </c>
      <c r="I757" s="3">
        <v>1200</v>
      </c>
      <c r="J757" s="2" t="str">
        <f t="shared" si="11"/>
        <v>55–64</v>
      </c>
      <c r="K757" t="str" cm="1">
        <f t="array" ref="K757">_xlfn.IFS(
  OR(MONTH(B757)=12, MONTH(B757)=1, MONTH(B757)=2), "Winter",
  OR(MONTH(B757)=3, MONTH(B757)=4, MONTH(B757)=5), "Spring",
  OR(MONTH(B757)=6, MONTH(B757)=7, MONTH(B757)=8), "Summer",
  OR(MONTH(B757)=9, MONTH(B757)=10, MONTH(B757)=11), "Fall"
)</f>
        <v>Summer</v>
      </c>
    </row>
    <row r="758" spans="1:11">
      <c r="A758">
        <v>757</v>
      </c>
      <c r="B758" s="1">
        <v>45285</v>
      </c>
      <c r="C758" t="s">
        <v>770</v>
      </c>
      <c r="D758" t="s">
        <v>13</v>
      </c>
      <c r="E758" s="2">
        <v>43</v>
      </c>
      <c r="F758" t="s">
        <v>16</v>
      </c>
      <c r="G758" s="2">
        <v>4</v>
      </c>
      <c r="H758" s="3">
        <v>300</v>
      </c>
      <c r="I758" s="3">
        <v>1200</v>
      </c>
      <c r="J758" s="2" t="str">
        <f t="shared" si="11"/>
        <v>35–44</v>
      </c>
      <c r="K758" t="str" cm="1">
        <f t="array" ref="K758">_xlfn.IFS(
  OR(MONTH(B758)=12, MONTH(B758)=1, MONTH(B758)=2), "Winter",
  OR(MONTH(B758)=3, MONTH(B758)=4, MONTH(B758)=5), "Spring",
  OR(MONTH(B758)=6, MONTH(B758)=7, MONTH(B758)=8), "Summer",
  OR(MONTH(B758)=9, MONTH(B758)=10, MONTH(B758)=11), "Fall"
)</f>
        <v>Winter</v>
      </c>
    </row>
    <row r="759" spans="1:11">
      <c r="A759">
        <v>758</v>
      </c>
      <c r="B759" s="1">
        <v>45058</v>
      </c>
      <c r="C759" t="s">
        <v>771</v>
      </c>
      <c r="D759" t="s">
        <v>10</v>
      </c>
      <c r="E759" s="2">
        <v>64</v>
      </c>
      <c r="F759" t="s">
        <v>14</v>
      </c>
      <c r="G759" s="2">
        <v>4</v>
      </c>
      <c r="H759" s="3">
        <v>25</v>
      </c>
      <c r="I759" s="3">
        <v>100</v>
      </c>
      <c r="J759" s="2" t="str">
        <f t="shared" si="11"/>
        <v>55–64</v>
      </c>
      <c r="K759" t="str" cm="1">
        <f t="array" ref="K759">_xlfn.IFS(
  OR(MONTH(B759)=12, MONTH(B759)=1, MONTH(B759)=2), "Winter",
  OR(MONTH(B759)=3, MONTH(B759)=4, MONTH(B759)=5), "Spring",
  OR(MONTH(B759)=6, MONTH(B759)=7, MONTH(B759)=8), "Summer",
  OR(MONTH(B759)=9, MONTH(B759)=10, MONTH(B759)=11), "Fall"
)</f>
        <v>Spring</v>
      </c>
    </row>
    <row r="760" spans="1:11">
      <c r="A760">
        <v>759</v>
      </c>
      <c r="B760" s="1">
        <v>45115</v>
      </c>
      <c r="C760" t="s">
        <v>772</v>
      </c>
      <c r="D760" t="s">
        <v>10</v>
      </c>
      <c r="E760" s="2">
        <v>49</v>
      </c>
      <c r="F760" t="s">
        <v>16</v>
      </c>
      <c r="G760" s="2">
        <v>2</v>
      </c>
      <c r="H760" s="3">
        <v>50</v>
      </c>
      <c r="I760" s="3">
        <v>100</v>
      </c>
      <c r="J760" s="2" t="str">
        <f t="shared" si="11"/>
        <v>45–54</v>
      </c>
      <c r="K760" t="str" cm="1">
        <f t="array" ref="K760">_xlfn.IFS(
  OR(MONTH(B760)=12, MONTH(B760)=1, MONTH(B760)=2), "Winter",
  OR(MONTH(B760)=3, MONTH(B760)=4, MONTH(B760)=5), "Spring",
  OR(MONTH(B760)=6, MONTH(B760)=7, MONTH(B760)=8), "Summer",
  OR(MONTH(B760)=9, MONTH(B760)=10, MONTH(B760)=11), "Fall"
)</f>
        <v>Summer</v>
      </c>
    </row>
    <row r="761" spans="1:11">
      <c r="A761">
        <v>760</v>
      </c>
      <c r="B761" s="1">
        <v>45012</v>
      </c>
      <c r="C761" t="s">
        <v>773</v>
      </c>
      <c r="D761" t="s">
        <v>10</v>
      </c>
      <c r="E761" s="2">
        <v>27</v>
      </c>
      <c r="F761" t="s">
        <v>11</v>
      </c>
      <c r="G761" s="2">
        <v>1</v>
      </c>
      <c r="H761" s="3">
        <v>500</v>
      </c>
      <c r="I761" s="3">
        <v>500</v>
      </c>
      <c r="J761" s="2" t="str">
        <f t="shared" si="11"/>
        <v>25–34</v>
      </c>
      <c r="K761" t="str" cm="1">
        <f t="array" ref="K761">_xlfn.IFS(
  OR(MONTH(B761)=12, MONTH(B761)=1, MONTH(B761)=2), "Winter",
  OR(MONTH(B761)=3, MONTH(B761)=4, MONTH(B761)=5), "Spring",
  OR(MONTH(B761)=6, MONTH(B761)=7, MONTH(B761)=8), "Summer",
  OR(MONTH(B761)=9, MONTH(B761)=10, MONTH(B761)=11), "Fall"
)</f>
        <v>Spring</v>
      </c>
    </row>
    <row r="762" spans="1:11">
      <c r="A762">
        <v>761</v>
      </c>
      <c r="B762" s="1">
        <v>45237</v>
      </c>
      <c r="C762" t="s">
        <v>774</v>
      </c>
      <c r="D762" t="s">
        <v>13</v>
      </c>
      <c r="E762" s="2">
        <v>33</v>
      </c>
      <c r="F762" t="s">
        <v>14</v>
      </c>
      <c r="G762" s="2">
        <v>1</v>
      </c>
      <c r="H762" s="3">
        <v>500</v>
      </c>
      <c r="I762" s="3">
        <v>500</v>
      </c>
      <c r="J762" s="2" t="str">
        <f t="shared" si="11"/>
        <v>25–34</v>
      </c>
      <c r="K762" t="str" cm="1">
        <f t="array" ref="K762">_xlfn.IFS(
  OR(MONTH(B762)=12, MONTH(B762)=1, MONTH(B762)=2), "Winter",
  OR(MONTH(B762)=3, MONTH(B762)=4, MONTH(B762)=5), "Spring",
  OR(MONTH(B762)=6, MONTH(B762)=7, MONTH(B762)=8), "Summer",
  OR(MONTH(B762)=9, MONTH(B762)=10, MONTH(B762)=11), "Fall"
)</f>
        <v>Fall</v>
      </c>
    </row>
    <row r="763" spans="1:11">
      <c r="A763">
        <v>762</v>
      </c>
      <c r="B763" s="1">
        <v>45237</v>
      </c>
      <c r="C763" t="s">
        <v>775</v>
      </c>
      <c r="D763" t="s">
        <v>13</v>
      </c>
      <c r="E763" s="2">
        <v>24</v>
      </c>
      <c r="F763" t="s">
        <v>16</v>
      </c>
      <c r="G763" s="2">
        <v>2</v>
      </c>
      <c r="H763" s="3">
        <v>25</v>
      </c>
      <c r="I763" s="3">
        <v>50</v>
      </c>
      <c r="J763" s="2" t="str">
        <f t="shared" si="11"/>
        <v>18–24</v>
      </c>
      <c r="K763" t="str" cm="1">
        <f t="array" ref="K763">_xlfn.IFS(
  OR(MONTH(B763)=12, MONTH(B763)=1, MONTH(B763)=2), "Winter",
  OR(MONTH(B763)=3, MONTH(B763)=4, MONTH(B763)=5), "Spring",
  OR(MONTH(B763)=6, MONTH(B763)=7, MONTH(B763)=8), "Summer",
  OR(MONTH(B763)=9, MONTH(B763)=10, MONTH(B763)=11), "Fall"
)</f>
        <v>Fall</v>
      </c>
    </row>
    <row r="764" spans="1:11">
      <c r="A764">
        <v>763</v>
      </c>
      <c r="B764" s="1">
        <v>44985</v>
      </c>
      <c r="C764" t="s">
        <v>776</v>
      </c>
      <c r="D764" t="s">
        <v>10</v>
      </c>
      <c r="E764" s="2">
        <v>34</v>
      </c>
      <c r="F764" t="s">
        <v>14</v>
      </c>
      <c r="G764" s="2">
        <v>2</v>
      </c>
      <c r="H764" s="3">
        <v>25</v>
      </c>
      <c r="I764" s="3">
        <v>50</v>
      </c>
      <c r="J764" s="2" t="str">
        <f t="shared" si="11"/>
        <v>25–34</v>
      </c>
      <c r="K764" t="str" cm="1">
        <f t="array" ref="K764">_xlfn.IFS(
  OR(MONTH(B764)=12, MONTH(B764)=1, MONTH(B764)=2), "Winter",
  OR(MONTH(B764)=3, MONTH(B764)=4, MONTH(B764)=5), "Spring",
  OR(MONTH(B764)=6, MONTH(B764)=7, MONTH(B764)=8), "Summer",
  OR(MONTH(B764)=9, MONTH(B764)=10, MONTH(B764)=11), "Fall"
)</f>
        <v>Winter</v>
      </c>
    </row>
    <row r="765" spans="1:11">
      <c r="A765">
        <v>764</v>
      </c>
      <c r="B765" s="1">
        <v>45010</v>
      </c>
      <c r="C765" t="s">
        <v>777</v>
      </c>
      <c r="D765" t="s">
        <v>13</v>
      </c>
      <c r="E765" s="2">
        <v>40</v>
      </c>
      <c r="F765" t="s">
        <v>14</v>
      </c>
      <c r="G765" s="2">
        <v>1</v>
      </c>
      <c r="H765" s="3">
        <v>25</v>
      </c>
      <c r="I765" s="3">
        <v>25</v>
      </c>
      <c r="J765" s="2" t="str">
        <f t="shared" si="11"/>
        <v>35–44</v>
      </c>
      <c r="K765" t="str" cm="1">
        <f t="array" ref="K765">_xlfn.IFS(
  OR(MONTH(B765)=12, MONTH(B765)=1, MONTH(B765)=2), "Winter",
  OR(MONTH(B765)=3, MONTH(B765)=4, MONTH(B765)=5), "Spring",
  OR(MONTH(B765)=6, MONTH(B765)=7, MONTH(B765)=8), "Summer",
  OR(MONTH(B765)=9, MONTH(B765)=10, MONTH(B765)=11), "Fall"
)</f>
        <v>Spring</v>
      </c>
    </row>
    <row r="766" spans="1:11">
      <c r="A766">
        <v>765</v>
      </c>
      <c r="B766" s="1">
        <v>45086</v>
      </c>
      <c r="C766" t="s">
        <v>778</v>
      </c>
      <c r="D766" t="s">
        <v>10</v>
      </c>
      <c r="E766" s="2">
        <v>43</v>
      </c>
      <c r="F766" t="s">
        <v>14</v>
      </c>
      <c r="G766" s="2">
        <v>4</v>
      </c>
      <c r="H766" s="3">
        <v>50</v>
      </c>
      <c r="I766" s="3">
        <v>200</v>
      </c>
      <c r="J766" s="2" t="str">
        <f t="shared" si="11"/>
        <v>35–44</v>
      </c>
      <c r="K766" t="str" cm="1">
        <f t="array" ref="K766">_xlfn.IFS(
  OR(MONTH(B766)=12, MONTH(B766)=1, MONTH(B766)=2), "Winter",
  OR(MONTH(B766)=3, MONTH(B766)=4, MONTH(B766)=5), "Spring",
  OR(MONTH(B766)=6, MONTH(B766)=7, MONTH(B766)=8), "Summer",
  OR(MONTH(B766)=9, MONTH(B766)=10, MONTH(B766)=11), "Fall"
)</f>
        <v>Summer</v>
      </c>
    </row>
    <row r="767" spans="1:11">
      <c r="A767">
        <v>766</v>
      </c>
      <c r="B767" s="1">
        <v>44982</v>
      </c>
      <c r="C767" t="s">
        <v>779</v>
      </c>
      <c r="D767" t="s">
        <v>10</v>
      </c>
      <c r="E767" s="2">
        <v>38</v>
      </c>
      <c r="F767" t="s">
        <v>16</v>
      </c>
      <c r="G767" s="2">
        <v>3</v>
      </c>
      <c r="H767" s="3">
        <v>300</v>
      </c>
      <c r="I767" s="3">
        <v>900</v>
      </c>
      <c r="J767" s="2" t="str">
        <f t="shared" si="11"/>
        <v>35–44</v>
      </c>
      <c r="K767" t="str" cm="1">
        <f t="array" ref="K767">_xlfn.IFS(
  OR(MONTH(B767)=12, MONTH(B767)=1, MONTH(B767)=2), "Winter",
  OR(MONTH(B767)=3, MONTH(B767)=4, MONTH(B767)=5), "Spring",
  OR(MONTH(B767)=6, MONTH(B767)=7, MONTH(B767)=8), "Summer",
  OR(MONTH(B767)=9, MONTH(B767)=10, MONTH(B767)=11), "Fall"
)</f>
        <v>Winter</v>
      </c>
    </row>
    <row r="768" spans="1:11">
      <c r="A768">
        <v>767</v>
      </c>
      <c r="B768" s="1">
        <v>45223</v>
      </c>
      <c r="C768" t="s">
        <v>780</v>
      </c>
      <c r="D768" t="s">
        <v>10</v>
      </c>
      <c r="E768" s="2">
        <v>39</v>
      </c>
      <c r="F768" t="s">
        <v>11</v>
      </c>
      <c r="G768" s="2">
        <v>3</v>
      </c>
      <c r="H768" s="3">
        <v>25</v>
      </c>
      <c r="I768" s="3">
        <v>75</v>
      </c>
      <c r="J768" s="2" t="str">
        <f t="shared" si="11"/>
        <v>35–44</v>
      </c>
      <c r="K768" t="str" cm="1">
        <f t="array" ref="K768">_xlfn.IFS(
  OR(MONTH(B768)=12, MONTH(B768)=1, MONTH(B768)=2), "Winter",
  OR(MONTH(B768)=3, MONTH(B768)=4, MONTH(B768)=5), "Spring",
  OR(MONTH(B768)=6, MONTH(B768)=7, MONTH(B768)=8), "Summer",
  OR(MONTH(B768)=9, MONTH(B768)=10, MONTH(B768)=11), "Fall"
)</f>
        <v>Fall</v>
      </c>
    </row>
    <row r="769" spans="1:11">
      <c r="A769">
        <v>768</v>
      </c>
      <c r="B769" s="1">
        <v>44940</v>
      </c>
      <c r="C769" t="s">
        <v>781</v>
      </c>
      <c r="D769" t="s">
        <v>13</v>
      </c>
      <c r="E769" s="2">
        <v>24</v>
      </c>
      <c r="F769" t="s">
        <v>11</v>
      </c>
      <c r="G769" s="2">
        <v>3</v>
      </c>
      <c r="H769" s="3">
        <v>25</v>
      </c>
      <c r="I769" s="3">
        <v>75</v>
      </c>
      <c r="J769" s="2" t="str">
        <f t="shared" si="11"/>
        <v>18–24</v>
      </c>
      <c r="K769" t="str" cm="1">
        <f t="array" ref="K769">_xlfn.IFS(
  OR(MONTH(B769)=12, MONTH(B769)=1, MONTH(B769)=2), "Winter",
  OR(MONTH(B769)=3, MONTH(B769)=4, MONTH(B769)=5), "Spring",
  OR(MONTH(B769)=6, MONTH(B769)=7, MONTH(B769)=8), "Summer",
  OR(MONTH(B769)=9, MONTH(B769)=10, MONTH(B769)=11), "Fall"
)</f>
        <v>Winter</v>
      </c>
    </row>
    <row r="770" spans="1:11">
      <c r="A770">
        <v>769</v>
      </c>
      <c r="B770" s="1">
        <v>45086</v>
      </c>
      <c r="C770" t="s">
        <v>782</v>
      </c>
      <c r="D770" t="s">
        <v>13</v>
      </c>
      <c r="E770" s="2">
        <v>31</v>
      </c>
      <c r="F770" t="s">
        <v>16</v>
      </c>
      <c r="G770" s="2">
        <v>4</v>
      </c>
      <c r="H770" s="3">
        <v>30</v>
      </c>
      <c r="I770" s="3">
        <v>120</v>
      </c>
      <c r="J770" s="2" t="str">
        <f t="shared" ref="J770:J833" si="12">IF(AND(E770&gt;=18, E770&lt;=24), "18–24",
 IF(AND(E770&gt;=25, E770&lt;=34), "25–34",
 IF(AND(E770&gt;=35, E770&lt;=44), "35–44",
 IF(AND(E770&gt;=45, E770&lt;=54), "45–54",
 IF(AND(E770&gt;=55, E770&lt;=64), "55–64", "Other")))))</f>
        <v>25–34</v>
      </c>
      <c r="K770" t="str" cm="1">
        <f t="array" ref="K770">_xlfn.IFS(
  OR(MONTH(B770)=12, MONTH(B770)=1, MONTH(B770)=2), "Winter",
  OR(MONTH(B770)=3, MONTH(B770)=4, MONTH(B770)=5), "Spring",
  OR(MONTH(B770)=6, MONTH(B770)=7, MONTH(B770)=8), "Summer",
  OR(MONTH(B770)=9, MONTH(B770)=10, MONTH(B770)=11), "Fall"
)</f>
        <v>Summer</v>
      </c>
    </row>
    <row r="771" spans="1:11">
      <c r="A771">
        <v>770</v>
      </c>
      <c r="B771" s="1">
        <v>45221</v>
      </c>
      <c r="C771" t="s">
        <v>783</v>
      </c>
      <c r="D771" t="s">
        <v>10</v>
      </c>
      <c r="E771" s="2">
        <v>32</v>
      </c>
      <c r="F771" t="s">
        <v>14</v>
      </c>
      <c r="G771" s="2">
        <v>1</v>
      </c>
      <c r="H771" s="3">
        <v>50</v>
      </c>
      <c r="I771" s="3">
        <v>50</v>
      </c>
      <c r="J771" s="2" t="str">
        <f t="shared" si="12"/>
        <v>25–34</v>
      </c>
      <c r="K771" t="str" cm="1">
        <f t="array" ref="K771">_xlfn.IFS(
  OR(MONTH(B771)=12, MONTH(B771)=1, MONTH(B771)=2), "Winter",
  OR(MONTH(B771)=3, MONTH(B771)=4, MONTH(B771)=5), "Spring",
  OR(MONTH(B771)=6, MONTH(B771)=7, MONTH(B771)=8), "Summer",
  OR(MONTH(B771)=9, MONTH(B771)=10, MONTH(B771)=11), "Fall"
)</f>
        <v>Fall</v>
      </c>
    </row>
    <row r="772" spans="1:11">
      <c r="A772">
        <v>771</v>
      </c>
      <c r="B772" s="1">
        <v>45273</v>
      </c>
      <c r="C772" t="s">
        <v>784</v>
      </c>
      <c r="D772" t="s">
        <v>10</v>
      </c>
      <c r="E772" s="2">
        <v>24</v>
      </c>
      <c r="F772" t="s">
        <v>16</v>
      </c>
      <c r="G772" s="2">
        <v>2</v>
      </c>
      <c r="H772" s="3">
        <v>25</v>
      </c>
      <c r="I772" s="3">
        <v>50</v>
      </c>
      <c r="J772" s="2" t="str">
        <f t="shared" si="12"/>
        <v>18–24</v>
      </c>
      <c r="K772" t="str" cm="1">
        <f t="array" ref="K772">_xlfn.IFS(
  OR(MONTH(B772)=12, MONTH(B772)=1, MONTH(B772)=2), "Winter",
  OR(MONTH(B772)=3, MONTH(B772)=4, MONTH(B772)=5), "Spring",
  OR(MONTH(B772)=6, MONTH(B772)=7, MONTH(B772)=8), "Summer",
  OR(MONTH(B772)=9, MONTH(B772)=10, MONTH(B772)=11), "Fall"
)</f>
        <v>Winter</v>
      </c>
    </row>
    <row r="773" spans="1:11">
      <c r="A773">
        <v>772</v>
      </c>
      <c r="B773" s="1">
        <v>45119</v>
      </c>
      <c r="C773" t="s">
        <v>785</v>
      </c>
      <c r="D773" t="s">
        <v>10</v>
      </c>
      <c r="E773" s="2">
        <v>26</v>
      </c>
      <c r="F773" t="s">
        <v>16</v>
      </c>
      <c r="G773" s="2">
        <v>1</v>
      </c>
      <c r="H773" s="3">
        <v>30</v>
      </c>
      <c r="I773" s="3">
        <v>30</v>
      </c>
      <c r="J773" s="2" t="str">
        <f t="shared" si="12"/>
        <v>25–34</v>
      </c>
      <c r="K773" t="str" cm="1">
        <f t="array" ref="K773">_xlfn.IFS(
  OR(MONTH(B773)=12, MONTH(B773)=1, MONTH(B773)=2), "Winter",
  OR(MONTH(B773)=3, MONTH(B773)=4, MONTH(B773)=5), "Spring",
  OR(MONTH(B773)=6, MONTH(B773)=7, MONTH(B773)=8), "Summer",
  OR(MONTH(B773)=9, MONTH(B773)=10, MONTH(B773)=11), "Fall"
)</f>
        <v>Summer</v>
      </c>
    </row>
    <row r="774" spans="1:11">
      <c r="A774">
        <v>773</v>
      </c>
      <c r="B774" s="1">
        <v>45130</v>
      </c>
      <c r="C774" t="s">
        <v>786</v>
      </c>
      <c r="D774" t="s">
        <v>10</v>
      </c>
      <c r="E774" s="2">
        <v>25</v>
      </c>
      <c r="F774" t="s">
        <v>16</v>
      </c>
      <c r="G774" s="2">
        <v>4</v>
      </c>
      <c r="H774" s="3">
        <v>500</v>
      </c>
      <c r="I774" s="3">
        <v>2000</v>
      </c>
      <c r="J774" s="2" t="str">
        <f t="shared" si="12"/>
        <v>25–34</v>
      </c>
      <c r="K774" t="str" cm="1">
        <f t="array" ref="K774">_xlfn.IFS(
  OR(MONTH(B774)=12, MONTH(B774)=1, MONTH(B774)=2), "Winter",
  OR(MONTH(B774)=3, MONTH(B774)=4, MONTH(B774)=5), "Spring",
  OR(MONTH(B774)=6, MONTH(B774)=7, MONTH(B774)=8), "Summer",
  OR(MONTH(B774)=9, MONTH(B774)=10, MONTH(B774)=11), "Fall"
)</f>
        <v>Summer</v>
      </c>
    </row>
    <row r="775" spans="1:11">
      <c r="A775">
        <v>774</v>
      </c>
      <c r="B775" s="1">
        <v>45028</v>
      </c>
      <c r="C775" t="s">
        <v>787</v>
      </c>
      <c r="D775" t="s">
        <v>13</v>
      </c>
      <c r="E775" s="2">
        <v>40</v>
      </c>
      <c r="F775" t="s">
        <v>14</v>
      </c>
      <c r="G775" s="2">
        <v>2</v>
      </c>
      <c r="H775" s="3">
        <v>25</v>
      </c>
      <c r="I775" s="3">
        <v>50</v>
      </c>
      <c r="J775" s="2" t="str">
        <f t="shared" si="12"/>
        <v>35–44</v>
      </c>
      <c r="K775" t="str" cm="1">
        <f t="array" ref="K775">_xlfn.IFS(
  OR(MONTH(B775)=12, MONTH(B775)=1, MONTH(B775)=2), "Winter",
  OR(MONTH(B775)=3, MONTH(B775)=4, MONTH(B775)=5), "Spring",
  OR(MONTH(B775)=6, MONTH(B775)=7, MONTH(B775)=8), "Summer",
  OR(MONTH(B775)=9, MONTH(B775)=10, MONTH(B775)=11), "Fall"
)</f>
        <v>Spring</v>
      </c>
    </row>
    <row r="776" spans="1:11">
      <c r="A776">
        <v>775</v>
      </c>
      <c r="B776" s="1">
        <v>44965</v>
      </c>
      <c r="C776" t="s">
        <v>788</v>
      </c>
      <c r="D776" t="s">
        <v>13</v>
      </c>
      <c r="E776" s="2">
        <v>46</v>
      </c>
      <c r="F776" t="s">
        <v>16</v>
      </c>
      <c r="G776" s="2">
        <v>4</v>
      </c>
      <c r="H776" s="3">
        <v>25</v>
      </c>
      <c r="I776" s="3">
        <v>100</v>
      </c>
      <c r="J776" s="2" t="str">
        <f t="shared" si="12"/>
        <v>45–54</v>
      </c>
      <c r="K776" t="str" cm="1">
        <f t="array" ref="K776">_xlfn.IFS(
  OR(MONTH(B776)=12, MONTH(B776)=1, MONTH(B776)=2), "Winter",
  OR(MONTH(B776)=3, MONTH(B776)=4, MONTH(B776)=5), "Spring",
  OR(MONTH(B776)=6, MONTH(B776)=7, MONTH(B776)=8), "Summer",
  OR(MONTH(B776)=9, MONTH(B776)=10, MONTH(B776)=11), "Fall"
)</f>
        <v>Winter</v>
      </c>
    </row>
    <row r="777" spans="1:11">
      <c r="A777">
        <v>776</v>
      </c>
      <c r="B777" s="1">
        <v>45230</v>
      </c>
      <c r="C777" t="s">
        <v>789</v>
      </c>
      <c r="D777" t="s">
        <v>10</v>
      </c>
      <c r="E777" s="2">
        <v>35</v>
      </c>
      <c r="F777" t="s">
        <v>14</v>
      </c>
      <c r="G777" s="2">
        <v>3</v>
      </c>
      <c r="H777" s="3">
        <v>30</v>
      </c>
      <c r="I777" s="3">
        <v>90</v>
      </c>
      <c r="J777" s="2" t="str">
        <f t="shared" si="12"/>
        <v>35–44</v>
      </c>
      <c r="K777" t="str" cm="1">
        <f t="array" ref="K777">_xlfn.IFS(
  OR(MONTH(B777)=12, MONTH(B777)=1, MONTH(B777)=2), "Winter",
  OR(MONTH(B777)=3, MONTH(B777)=4, MONTH(B777)=5), "Spring",
  OR(MONTH(B777)=6, MONTH(B777)=7, MONTH(B777)=8), "Summer",
  OR(MONTH(B777)=9, MONTH(B777)=10, MONTH(B777)=11), "Fall"
)</f>
        <v>Fall</v>
      </c>
    </row>
    <row r="778" spans="1:11">
      <c r="A778">
        <v>777</v>
      </c>
      <c r="B778" s="1">
        <v>45280</v>
      </c>
      <c r="C778" t="s">
        <v>790</v>
      </c>
      <c r="D778" t="s">
        <v>10</v>
      </c>
      <c r="E778" s="2">
        <v>48</v>
      </c>
      <c r="F778" t="s">
        <v>16</v>
      </c>
      <c r="G778" s="2">
        <v>3</v>
      </c>
      <c r="H778" s="3">
        <v>50</v>
      </c>
      <c r="I778" s="3">
        <v>150</v>
      </c>
      <c r="J778" s="2" t="str">
        <f t="shared" si="12"/>
        <v>45–54</v>
      </c>
      <c r="K778" t="str" cm="1">
        <f t="array" ref="K778">_xlfn.IFS(
  OR(MONTH(B778)=12, MONTH(B778)=1, MONTH(B778)=2), "Winter",
  OR(MONTH(B778)=3, MONTH(B778)=4, MONTH(B778)=5), "Spring",
  OR(MONTH(B778)=6, MONTH(B778)=7, MONTH(B778)=8), "Summer",
  OR(MONTH(B778)=9, MONTH(B778)=10, MONTH(B778)=11), "Fall"
)</f>
        <v>Winter</v>
      </c>
    </row>
    <row r="779" spans="1:11">
      <c r="A779">
        <v>778</v>
      </c>
      <c r="B779" s="1">
        <v>45248</v>
      </c>
      <c r="C779" t="s">
        <v>791</v>
      </c>
      <c r="D779" t="s">
        <v>13</v>
      </c>
      <c r="E779" s="2">
        <v>47</v>
      </c>
      <c r="F779" t="s">
        <v>11</v>
      </c>
      <c r="G779" s="2">
        <v>4</v>
      </c>
      <c r="H779" s="3">
        <v>25</v>
      </c>
      <c r="I779" s="3">
        <v>100</v>
      </c>
      <c r="J779" s="2" t="str">
        <f t="shared" si="12"/>
        <v>45–54</v>
      </c>
      <c r="K779" t="str" cm="1">
        <f t="array" ref="K779">_xlfn.IFS(
  OR(MONTH(B779)=12, MONTH(B779)=1, MONTH(B779)=2), "Winter",
  OR(MONTH(B779)=3, MONTH(B779)=4, MONTH(B779)=5), "Spring",
  OR(MONTH(B779)=6, MONTH(B779)=7, MONTH(B779)=8), "Summer",
  OR(MONTH(B779)=9, MONTH(B779)=10, MONTH(B779)=11), "Fall"
)</f>
        <v>Fall</v>
      </c>
    </row>
    <row r="780" spans="1:11">
      <c r="A780">
        <v>779</v>
      </c>
      <c r="B780" s="1">
        <v>45051</v>
      </c>
      <c r="C780" t="s">
        <v>792</v>
      </c>
      <c r="D780" t="s">
        <v>13</v>
      </c>
      <c r="E780" s="2">
        <v>56</v>
      </c>
      <c r="F780" t="s">
        <v>16</v>
      </c>
      <c r="G780" s="2">
        <v>2</v>
      </c>
      <c r="H780" s="3">
        <v>500</v>
      </c>
      <c r="I780" s="3">
        <v>1000</v>
      </c>
      <c r="J780" s="2" t="str">
        <f t="shared" si="12"/>
        <v>55–64</v>
      </c>
      <c r="K780" t="str" cm="1">
        <f t="array" ref="K780">_xlfn.IFS(
  OR(MONTH(B780)=12, MONTH(B780)=1, MONTH(B780)=2), "Winter",
  OR(MONTH(B780)=3, MONTH(B780)=4, MONTH(B780)=5), "Spring",
  OR(MONTH(B780)=6, MONTH(B780)=7, MONTH(B780)=8), "Summer",
  OR(MONTH(B780)=9, MONTH(B780)=10, MONTH(B780)=11), "Fall"
)</f>
        <v>Spring</v>
      </c>
    </row>
    <row r="781" spans="1:11">
      <c r="A781">
        <v>780</v>
      </c>
      <c r="B781" s="1">
        <v>44979</v>
      </c>
      <c r="C781" t="s">
        <v>793</v>
      </c>
      <c r="D781" t="s">
        <v>10</v>
      </c>
      <c r="E781" s="2">
        <v>52</v>
      </c>
      <c r="F781" t="s">
        <v>16</v>
      </c>
      <c r="G781" s="2">
        <v>2</v>
      </c>
      <c r="H781" s="3">
        <v>25</v>
      </c>
      <c r="I781" s="3">
        <v>50</v>
      </c>
      <c r="J781" s="2" t="str">
        <f t="shared" si="12"/>
        <v>45–54</v>
      </c>
      <c r="K781" t="str" cm="1">
        <f t="array" ref="K781">_xlfn.IFS(
  OR(MONTH(B781)=12, MONTH(B781)=1, MONTH(B781)=2), "Winter",
  OR(MONTH(B781)=3, MONTH(B781)=4, MONTH(B781)=5), "Spring",
  OR(MONTH(B781)=6, MONTH(B781)=7, MONTH(B781)=8), "Summer",
  OR(MONTH(B781)=9, MONTH(B781)=10, MONTH(B781)=11), "Fall"
)</f>
        <v>Winter</v>
      </c>
    </row>
    <row r="782" spans="1:11">
      <c r="A782">
        <v>781</v>
      </c>
      <c r="B782" s="1">
        <v>45283</v>
      </c>
      <c r="C782" t="s">
        <v>794</v>
      </c>
      <c r="D782" t="s">
        <v>10</v>
      </c>
      <c r="E782" s="2">
        <v>35</v>
      </c>
      <c r="F782" t="s">
        <v>11</v>
      </c>
      <c r="G782" s="2">
        <v>1</v>
      </c>
      <c r="H782" s="3">
        <v>500</v>
      </c>
      <c r="I782" s="3">
        <v>500</v>
      </c>
      <c r="J782" s="2" t="str">
        <f t="shared" si="12"/>
        <v>35–44</v>
      </c>
      <c r="K782" t="str" cm="1">
        <f t="array" ref="K782">_xlfn.IFS(
  OR(MONTH(B782)=12, MONTH(B782)=1, MONTH(B782)=2), "Winter",
  OR(MONTH(B782)=3, MONTH(B782)=4, MONTH(B782)=5), "Spring",
  OR(MONTH(B782)=6, MONTH(B782)=7, MONTH(B782)=8), "Summer",
  OR(MONTH(B782)=9, MONTH(B782)=10, MONTH(B782)=11), "Fall"
)</f>
        <v>Winter</v>
      </c>
    </row>
    <row r="783" spans="1:11">
      <c r="A783">
        <v>782</v>
      </c>
      <c r="B783" s="1">
        <v>45081</v>
      </c>
      <c r="C783" t="s">
        <v>795</v>
      </c>
      <c r="D783" t="s">
        <v>10</v>
      </c>
      <c r="E783" s="2">
        <v>59</v>
      </c>
      <c r="F783" t="s">
        <v>14</v>
      </c>
      <c r="G783" s="2">
        <v>3</v>
      </c>
      <c r="H783" s="3">
        <v>300</v>
      </c>
      <c r="I783" s="3">
        <v>900</v>
      </c>
      <c r="J783" s="2" t="str">
        <f t="shared" si="12"/>
        <v>55–64</v>
      </c>
      <c r="K783" t="str" cm="1">
        <f t="array" ref="K783">_xlfn.IFS(
  OR(MONTH(B783)=12, MONTH(B783)=1, MONTH(B783)=2), "Winter",
  OR(MONTH(B783)=3, MONTH(B783)=4, MONTH(B783)=5), "Spring",
  OR(MONTH(B783)=6, MONTH(B783)=7, MONTH(B783)=8), "Summer",
  OR(MONTH(B783)=9, MONTH(B783)=10, MONTH(B783)=11), "Fall"
)</f>
        <v>Summer</v>
      </c>
    </row>
    <row r="784" spans="1:11">
      <c r="A784">
        <v>783</v>
      </c>
      <c r="B784" s="1">
        <v>45277</v>
      </c>
      <c r="C784" t="s">
        <v>796</v>
      </c>
      <c r="D784" t="s">
        <v>13</v>
      </c>
      <c r="E784" s="2">
        <v>56</v>
      </c>
      <c r="F784" t="s">
        <v>14</v>
      </c>
      <c r="G784" s="2">
        <v>1</v>
      </c>
      <c r="H784" s="3">
        <v>300</v>
      </c>
      <c r="I784" s="3">
        <v>300</v>
      </c>
      <c r="J784" s="2" t="str">
        <f t="shared" si="12"/>
        <v>55–64</v>
      </c>
      <c r="K784" t="str" cm="1">
        <f t="array" ref="K784">_xlfn.IFS(
  OR(MONTH(B784)=12, MONTH(B784)=1, MONTH(B784)=2), "Winter",
  OR(MONTH(B784)=3, MONTH(B784)=4, MONTH(B784)=5), "Spring",
  OR(MONTH(B784)=6, MONTH(B784)=7, MONTH(B784)=8), "Summer",
  OR(MONTH(B784)=9, MONTH(B784)=10, MONTH(B784)=11), "Fall"
)</f>
        <v>Winter</v>
      </c>
    </row>
    <row r="785" spans="1:11">
      <c r="A785">
        <v>784</v>
      </c>
      <c r="B785" s="1">
        <v>45234</v>
      </c>
      <c r="C785" t="s">
        <v>797</v>
      </c>
      <c r="D785" t="s">
        <v>13</v>
      </c>
      <c r="E785" s="2">
        <v>34</v>
      </c>
      <c r="F785" t="s">
        <v>16</v>
      </c>
      <c r="G785" s="2">
        <v>1</v>
      </c>
      <c r="H785" s="3">
        <v>500</v>
      </c>
      <c r="I785" s="3">
        <v>500</v>
      </c>
      <c r="J785" s="2" t="str">
        <f t="shared" si="12"/>
        <v>25–34</v>
      </c>
      <c r="K785" t="str" cm="1">
        <f t="array" ref="K785">_xlfn.IFS(
  OR(MONTH(B785)=12, MONTH(B785)=1, MONTH(B785)=2), "Winter",
  OR(MONTH(B785)=3, MONTH(B785)=4, MONTH(B785)=5), "Spring",
  OR(MONTH(B785)=6, MONTH(B785)=7, MONTH(B785)=8), "Summer",
  OR(MONTH(B785)=9, MONTH(B785)=10, MONTH(B785)=11), "Fall"
)</f>
        <v>Fall</v>
      </c>
    </row>
    <row r="786" spans="1:11">
      <c r="A786">
        <v>785</v>
      </c>
      <c r="B786" s="1">
        <v>44988</v>
      </c>
      <c r="C786" t="s">
        <v>798</v>
      </c>
      <c r="D786" t="s">
        <v>13</v>
      </c>
      <c r="E786" s="2">
        <v>31</v>
      </c>
      <c r="F786" t="s">
        <v>11</v>
      </c>
      <c r="G786" s="2">
        <v>4</v>
      </c>
      <c r="H786" s="3">
        <v>50</v>
      </c>
      <c r="I786" s="3">
        <v>200</v>
      </c>
      <c r="J786" s="2" t="str">
        <f t="shared" si="12"/>
        <v>25–34</v>
      </c>
      <c r="K786" t="str" cm="1">
        <f t="array" ref="K786">_xlfn.IFS(
  OR(MONTH(B786)=12, MONTH(B786)=1, MONTH(B786)=2), "Winter",
  OR(MONTH(B786)=3, MONTH(B786)=4, MONTH(B786)=5), "Spring",
  OR(MONTH(B786)=6, MONTH(B786)=7, MONTH(B786)=8), "Summer",
  OR(MONTH(B786)=9, MONTH(B786)=10, MONTH(B786)=11), "Fall"
)</f>
        <v>Spring</v>
      </c>
    </row>
    <row r="787" spans="1:11">
      <c r="A787">
        <v>786</v>
      </c>
      <c r="B787" s="1">
        <v>45216</v>
      </c>
      <c r="C787" t="s">
        <v>799</v>
      </c>
      <c r="D787" t="s">
        <v>10</v>
      </c>
      <c r="E787" s="2">
        <v>48</v>
      </c>
      <c r="F787" t="s">
        <v>14</v>
      </c>
      <c r="G787" s="2">
        <v>4</v>
      </c>
      <c r="H787" s="3">
        <v>25</v>
      </c>
      <c r="I787" s="3">
        <v>100</v>
      </c>
      <c r="J787" s="2" t="str">
        <f t="shared" si="12"/>
        <v>45–54</v>
      </c>
      <c r="K787" t="str" cm="1">
        <f t="array" ref="K787">_xlfn.IFS(
  OR(MONTH(B787)=12, MONTH(B787)=1, MONTH(B787)=2), "Winter",
  OR(MONTH(B787)=3, MONTH(B787)=4, MONTH(B787)=5), "Spring",
  OR(MONTH(B787)=6, MONTH(B787)=7, MONTH(B787)=8), "Summer",
  OR(MONTH(B787)=9, MONTH(B787)=10, MONTH(B787)=11), "Fall"
)</f>
        <v>Fall</v>
      </c>
    </row>
    <row r="788" spans="1:11">
      <c r="A788">
        <v>787</v>
      </c>
      <c r="B788" s="1">
        <v>44948</v>
      </c>
      <c r="C788" t="s">
        <v>800</v>
      </c>
      <c r="D788" t="s">
        <v>10</v>
      </c>
      <c r="E788" s="2">
        <v>41</v>
      </c>
      <c r="F788" t="s">
        <v>16</v>
      </c>
      <c r="G788" s="2">
        <v>1</v>
      </c>
      <c r="H788" s="3">
        <v>25</v>
      </c>
      <c r="I788" s="3">
        <v>25</v>
      </c>
      <c r="J788" s="2" t="str">
        <f t="shared" si="12"/>
        <v>35–44</v>
      </c>
      <c r="K788" t="str" cm="1">
        <f t="array" ref="K788">_xlfn.IFS(
  OR(MONTH(B788)=12, MONTH(B788)=1, MONTH(B788)=2), "Winter",
  OR(MONTH(B788)=3, MONTH(B788)=4, MONTH(B788)=5), "Spring",
  OR(MONTH(B788)=6, MONTH(B788)=7, MONTH(B788)=8), "Summer",
  OR(MONTH(B788)=9, MONTH(B788)=10, MONTH(B788)=11), "Fall"
)</f>
        <v>Winter</v>
      </c>
    </row>
    <row r="789" spans="1:11">
      <c r="A789">
        <v>788</v>
      </c>
      <c r="B789" s="1">
        <v>45104</v>
      </c>
      <c r="C789" t="s">
        <v>801</v>
      </c>
      <c r="D789" t="s">
        <v>13</v>
      </c>
      <c r="E789" s="2">
        <v>52</v>
      </c>
      <c r="F789" t="s">
        <v>11</v>
      </c>
      <c r="G789" s="2">
        <v>3</v>
      </c>
      <c r="H789" s="3">
        <v>300</v>
      </c>
      <c r="I789" s="3">
        <v>900</v>
      </c>
      <c r="J789" s="2" t="str">
        <f t="shared" si="12"/>
        <v>45–54</v>
      </c>
      <c r="K789" t="str" cm="1">
        <f t="array" ref="K789">_xlfn.IFS(
  OR(MONTH(B789)=12, MONTH(B789)=1, MONTH(B789)=2), "Winter",
  OR(MONTH(B789)=3, MONTH(B789)=4, MONTH(B789)=5), "Spring",
  OR(MONTH(B789)=6, MONTH(B789)=7, MONTH(B789)=8), "Summer",
  OR(MONTH(B789)=9, MONTH(B789)=10, MONTH(B789)=11), "Fall"
)</f>
        <v>Summer</v>
      </c>
    </row>
    <row r="790" spans="1:11">
      <c r="A790">
        <v>789</v>
      </c>
      <c r="B790" s="1">
        <v>45199</v>
      </c>
      <c r="C790" t="s">
        <v>802</v>
      </c>
      <c r="D790" t="s">
        <v>13</v>
      </c>
      <c r="E790" s="2">
        <v>61</v>
      </c>
      <c r="F790" t="s">
        <v>14</v>
      </c>
      <c r="G790" s="2">
        <v>4</v>
      </c>
      <c r="H790" s="3">
        <v>500</v>
      </c>
      <c r="I790" s="3">
        <v>2000</v>
      </c>
      <c r="J790" s="2" t="str">
        <f t="shared" si="12"/>
        <v>55–64</v>
      </c>
      <c r="K790" t="str" cm="1">
        <f t="array" ref="K790">_xlfn.IFS(
  OR(MONTH(B790)=12, MONTH(B790)=1, MONTH(B790)=2), "Winter",
  OR(MONTH(B790)=3, MONTH(B790)=4, MONTH(B790)=5), "Spring",
  OR(MONTH(B790)=6, MONTH(B790)=7, MONTH(B790)=8), "Summer",
  OR(MONTH(B790)=9, MONTH(B790)=10, MONTH(B790)=11), "Fall"
)</f>
        <v>Fall</v>
      </c>
    </row>
    <row r="791" spans="1:11">
      <c r="A791">
        <v>790</v>
      </c>
      <c r="B791" s="1">
        <v>45146</v>
      </c>
      <c r="C791" t="s">
        <v>803</v>
      </c>
      <c r="D791" t="s">
        <v>10</v>
      </c>
      <c r="E791" s="2">
        <v>62</v>
      </c>
      <c r="F791" t="s">
        <v>14</v>
      </c>
      <c r="G791" s="2">
        <v>1</v>
      </c>
      <c r="H791" s="3">
        <v>25</v>
      </c>
      <c r="I791" s="3">
        <v>25</v>
      </c>
      <c r="J791" s="2" t="str">
        <f t="shared" si="12"/>
        <v>55–64</v>
      </c>
      <c r="K791" t="str" cm="1">
        <f t="array" ref="K791">_xlfn.IFS(
  OR(MONTH(B791)=12, MONTH(B791)=1, MONTH(B791)=2), "Winter",
  OR(MONTH(B791)=3, MONTH(B791)=4, MONTH(B791)=5), "Spring",
  OR(MONTH(B791)=6, MONTH(B791)=7, MONTH(B791)=8), "Summer",
  OR(MONTH(B791)=9, MONTH(B791)=10, MONTH(B791)=11), "Fall"
)</f>
        <v>Summer</v>
      </c>
    </row>
    <row r="792" spans="1:11">
      <c r="A792">
        <v>791</v>
      </c>
      <c r="B792" s="1">
        <v>45265</v>
      </c>
      <c r="C792" t="s">
        <v>804</v>
      </c>
      <c r="D792" t="s">
        <v>13</v>
      </c>
      <c r="E792" s="2">
        <v>51</v>
      </c>
      <c r="F792" t="s">
        <v>11</v>
      </c>
      <c r="G792" s="2">
        <v>1</v>
      </c>
      <c r="H792" s="3">
        <v>25</v>
      </c>
      <c r="I792" s="3">
        <v>25</v>
      </c>
      <c r="J792" s="2" t="str">
        <f t="shared" si="12"/>
        <v>45–54</v>
      </c>
      <c r="K792" t="str" cm="1">
        <f t="array" ref="K792">_xlfn.IFS(
  OR(MONTH(B792)=12, MONTH(B792)=1, MONTH(B792)=2), "Winter",
  OR(MONTH(B792)=3, MONTH(B792)=4, MONTH(B792)=5), "Spring",
  OR(MONTH(B792)=6, MONTH(B792)=7, MONTH(B792)=8), "Summer",
  OR(MONTH(B792)=9, MONTH(B792)=10, MONTH(B792)=11), "Fall"
)</f>
        <v>Winter</v>
      </c>
    </row>
    <row r="793" spans="1:11">
      <c r="A793">
        <v>792</v>
      </c>
      <c r="B793" s="1">
        <v>45116</v>
      </c>
      <c r="C793" t="s">
        <v>805</v>
      </c>
      <c r="D793" t="s">
        <v>13</v>
      </c>
      <c r="E793" s="2">
        <v>20</v>
      </c>
      <c r="F793" t="s">
        <v>11</v>
      </c>
      <c r="G793" s="2">
        <v>1</v>
      </c>
      <c r="H793" s="3">
        <v>50</v>
      </c>
      <c r="I793" s="3">
        <v>50</v>
      </c>
      <c r="J793" s="2" t="str">
        <f t="shared" si="12"/>
        <v>18–24</v>
      </c>
      <c r="K793" t="str" cm="1">
        <f t="array" ref="K793">_xlfn.IFS(
  OR(MONTH(B793)=12, MONTH(B793)=1, MONTH(B793)=2), "Winter",
  OR(MONTH(B793)=3, MONTH(B793)=4, MONTH(B793)=5), "Spring",
  OR(MONTH(B793)=6, MONTH(B793)=7, MONTH(B793)=8), "Summer",
  OR(MONTH(B793)=9, MONTH(B793)=10, MONTH(B793)=11), "Fall"
)</f>
        <v>Summer</v>
      </c>
    </row>
    <row r="794" spans="1:11">
      <c r="A794">
        <v>793</v>
      </c>
      <c r="B794" s="1">
        <v>44962</v>
      </c>
      <c r="C794" t="s">
        <v>806</v>
      </c>
      <c r="D794" t="s">
        <v>10</v>
      </c>
      <c r="E794" s="2">
        <v>54</v>
      </c>
      <c r="F794" t="s">
        <v>11</v>
      </c>
      <c r="G794" s="2">
        <v>1</v>
      </c>
      <c r="H794" s="3">
        <v>30</v>
      </c>
      <c r="I794" s="3">
        <v>30</v>
      </c>
      <c r="J794" s="2" t="str">
        <f t="shared" si="12"/>
        <v>45–54</v>
      </c>
      <c r="K794" t="str" cm="1">
        <f t="array" ref="K794">_xlfn.IFS(
  OR(MONTH(B794)=12, MONTH(B794)=1, MONTH(B794)=2), "Winter",
  OR(MONTH(B794)=3, MONTH(B794)=4, MONTH(B794)=5), "Spring",
  OR(MONTH(B794)=6, MONTH(B794)=7, MONTH(B794)=8), "Summer",
  OR(MONTH(B794)=9, MONTH(B794)=10, MONTH(B794)=11), "Fall"
)</f>
        <v>Winter</v>
      </c>
    </row>
    <row r="795" spans="1:11">
      <c r="A795">
        <v>794</v>
      </c>
      <c r="B795" s="1">
        <v>45186</v>
      </c>
      <c r="C795" t="s">
        <v>807</v>
      </c>
      <c r="D795" t="s">
        <v>13</v>
      </c>
      <c r="E795" s="2">
        <v>60</v>
      </c>
      <c r="F795" t="s">
        <v>11</v>
      </c>
      <c r="G795" s="2">
        <v>1</v>
      </c>
      <c r="H795" s="3">
        <v>300</v>
      </c>
      <c r="I795" s="3">
        <v>300</v>
      </c>
      <c r="J795" s="2" t="str">
        <f t="shared" si="12"/>
        <v>55–64</v>
      </c>
      <c r="K795" t="str" cm="1">
        <f t="array" ref="K795">_xlfn.IFS(
  OR(MONTH(B795)=12, MONTH(B795)=1, MONTH(B795)=2), "Winter",
  OR(MONTH(B795)=3, MONTH(B795)=4, MONTH(B795)=5), "Spring",
  OR(MONTH(B795)=6, MONTH(B795)=7, MONTH(B795)=8), "Summer",
  OR(MONTH(B795)=9, MONTH(B795)=10, MONTH(B795)=11), "Fall"
)</f>
        <v>Fall</v>
      </c>
    </row>
    <row r="796" spans="1:11">
      <c r="A796">
        <v>795</v>
      </c>
      <c r="B796" s="1">
        <v>45258</v>
      </c>
      <c r="C796" t="s">
        <v>808</v>
      </c>
      <c r="D796" t="s">
        <v>10</v>
      </c>
      <c r="E796" s="2">
        <v>57</v>
      </c>
      <c r="F796" t="s">
        <v>16</v>
      </c>
      <c r="G796" s="2">
        <v>1</v>
      </c>
      <c r="H796" s="3">
        <v>300</v>
      </c>
      <c r="I796" s="3">
        <v>300</v>
      </c>
      <c r="J796" s="2" t="str">
        <f t="shared" si="12"/>
        <v>55–64</v>
      </c>
      <c r="K796" t="str" cm="1">
        <f t="array" ref="K796">_xlfn.IFS(
  OR(MONTH(B796)=12, MONTH(B796)=1, MONTH(B796)=2), "Winter",
  OR(MONTH(B796)=3, MONTH(B796)=4, MONTH(B796)=5), "Spring",
  OR(MONTH(B796)=6, MONTH(B796)=7, MONTH(B796)=8), "Summer",
  OR(MONTH(B796)=9, MONTH(B796)=10, MONTH(B796)=11), "Fall"
)</f>
        <v>Fall</v>
      </c>
    </row>
    <row r="797" spans="1:11">
      <c r="A797">
        <v>796</v>
      </c>
      <c r="B797" s="1">
        <v>45101</v>
      </c>
      <c r="C797" t="s">
        <v>809</v>
      </c>
      <c r="D797" t="s">
        <v>10</v>
      </c>
      <c r="E797" s="2">
        <v>43</v>
      </c>
      <c r="F797" t="s">
        <v>11</v>
      </c>
      <c r="G797" s="2">
        <v>4</v>
      </c>
      <c r="H797" s="3">
        <v>30</v>
      </c>
      <c r="I797" s="3">
        <v>120</v>
      </c>
      <c r="J797" s="2" t="str">
        <f t="shared" si="12"/>
        <v>35–44</v>
      </c>
      <c r="K797" t="str" cm="1">
        <f t="array" ref="K797">_xlfn.IFS(
  OR(MONTH(B797)=12, MONTH(B797)=1, MONTH(B797)=2), "Winter",
  OR(MONTH(B797)=3, MONTH(B797)=4, MONTH(B797)=5), "Spring",
  OR(MONTH(B797)=6, MONTH(B797)=7, MONTH(B797)=8), "Summer",
  OR(MONTH(B797)=9, MONTH(B797)=10, MONTH(B797)=11), "Fall"
)</f>
        <v>Summer</v>
      </c>
    </row>
    <row r="798" spans="1:11">
      <c r="A798">
        <v>797</v>
      </c>
      <c r="B798" s="1">
        <v>44933</v>
      </c>
      <c r="C798" t="s">
        <v>810</v>
      </c>
      <c r="D798" t="s">
        <v>10</v>
      </c>
      <c r="E798" s="2">
        <v>40</v>
      </c>
      <c r="F798" t="s">
        <v>14</v>
      </c>
      <c r="G798" s="2">
        <v>3</v>
      </c>
      <c r="H798" s="3">
        <v>25</v>
      </c>
      <c r="I798" s="3">
        <v>75</v>
      </c>
      <c r="J798" s="2" t="str">
        <f t="shared" si="12"/>
        <v>35–44</v>
      </c>
      <c r="K798" t="str" cm="1">
        <f t="array" ref="K798">_xlfn.IFS(
  OR(MONTH(B798)=12, MONTH(B798)=1, MONTH(B798)=2), "Winter",
  OR(MONTH(B798)=3, MONTH(B798)=4, MONTH(B798)=5), "Spring",
  OR(MONTH(B798)=6, MONTH(B798)=7, MONTH(B798)=8), "Summer",
  OR(MONTH(B798)=9, MONTH(B798)=10, MONTH(B798)=11), "Fall"
)</f>
        <v>Winter</v>
      </c>
    </row>
    <row r="799" spans="1:11">
      <c r="A799">
        <v>798</v>
      </c>
      <c r="B799" s="1">
        <v>45142</v>
      </c>
      <c r="C799" t="s">
        <v>811</v>
      </c>
      <c r="D799" t="s">
        <v>10</v>
      </c>
      <c r="E799" s="2">
        <v>61</v>
      </c>
      <c r="F799" t="s">
        <v>14</v>
      </c>
      <c r="G799" s="2">
        <v>1</v>
      </c>
      <c r="H799" s="3">
        <v>50</v>
      </c>
      <c r="I799" s="3">
        <v>50</v>
      </c>
      <c r="J799" s="2" t="str">
        <f t="shared" si="12"/>
        <v>55–64</v>
      </c>
      <c r="K799" t="str" cm="1">
        <f t="array" ref="K799">_xlfn.IFS(
  OR(MONTH(B799)=12, MONTH(B799)=1, MONTH(B799)=2), "Winter",
  OR(MONTH(B799)=3, MONTH(B799)=4, MONTH(B799)=5), "Spring",
  OR(MONTH(B799)=6, MONTH(B799)=7, MONTH(B799)=8), "Summer",
  OR(MONTH(B799)=9, MONTH(B799)=10, MONTH(B799)=11), "Fall"
)</f>
        <v>Summer</v>
      </c>
    </row>
    <row r="800" spans="1:11">
      <c r="A800">
        <v>799</v>
      </c>
      <c r="B800" s="1">
        <v>45177</v>
      </c>
      <c r="C800" t="s">
        <v>812</v>
      </c>
      <c r="D800" t="s">
        <v>10</v>
      </c>
      <c r="E800" s="2">
        <v>56</v>
      </c>
      <c r="F800" t="s">
        <v>16</v>
      </c>
      <c r="G800" s="2">
        <v>2</v>
      </c>
      <c r="H800" s="3">
        <v>50</v>
      </c>
      <c r="I800" s="3">
        <v>100</v>
      </c>
      <c r="J800" s="2" t="str">
        <f t="shared" si="12"/>
        <v>55–64</v>
      </c>
      <c r="K800" t="str" cm="1">
        <f t="array" ref="K800">_xlfn.IFS(
  OR(MONTH(B800)=12, MONTH(B800)=1, MONTH(B800)=2), "Winter",
  OR(MONTH(B800)=3, MONTH(B800)=4, MONTH(B800)=5), "Spring",
  OR(MONTH(B800)=6, MONTH(B800)=7, MONTH(B800)=8), "Summer",
  OR(MONTH(B800)=9, MONTH(B800)=10, MONTH(B800)=11), "Fall"
)</f>
        <v>Fall</v>
      </c>
    </row>
    <row r="801" spans="1:11">
      <c r="A801">
        <v>800</v>
      </c>
      <c r="B801" s="1">
        <v>44981</v>
      </c>
      <c r="C801" t="s">
        <v>813</v>
      </c>
      <c r="D801" t="s">
        <v>10</v>
      </c>
      <c r="E801" s="2">
        <v>32</v>
      </c>
      <c r="F801" t="s">
        <v>14</v>
      </c>
      <c r="G801" s="2">
        <v>4</v>
      </c>
      <c r="H801" s="3">
        <v>300</v>
      </c>
      <c r="I801" s="3">
        <v>1200</v>
      </c>
      <c r="J801" s="2" t="str">
        <f t="shared" si="12"/>
        <v>25–34</v>
      </c>
      <c r="K801" t="str" cm="1">
        <f t="array" ref="K801">_xlfn.IFS(
  OR(MONTH(B801)=12, MONTH(B801)=1, MONTH(B801)=2), "Winter",
  OR(MONTH(B801)=3, MONTH(B801)=4, MONTH(B801)=5), "Spring",
  OR(MONTH(B801)=6, MONTH(B801)=7, MONTH(B801)=8), "Summer",
  OR(MONTH(B801)=9, MONTH(B801)=10, MONTH(B801)=11), "Fall"
)</f>
        <v>Winter</v>
      </c>
    </row>
    <row r="802" spans="1:11">
      <c r="A802">
        <v>801</v>
      </c>
      <c r="B802" s="1">
        <v>45148</v>
      </c>
      <c r="C802" t="s">
        <v>814</v>
      </c>
      <c r="D802" t="s">
        <v>10</v>
      </c>
      <c r="E802" s="2">
        <v>21</v>
      </c>
      <c r="F802" t="s">
        <v>14</v>
      </c>
      <c r="G802" s="2">
        <v>4</v>
      </c>
      <c r="H802" s="3">
        <v>50</v>
      </c>
      <c r="I802" s="3">
        <v>200</v>
      </c>
      <c r="J802" s="2" t="str">
        <f t="shared" si="12"/>
        <v>18–24</v>
      </c>
      <c r="K802" t="str" cm="1">
        <f t="array" ref="K802">_xlfn.IFS(
  OR(MONTH(B802)=12, MONTH(B802)=1, MONTH(B802)=2), "Winter",
  OR(MONTH(B802)=3, MONTH(B802)=4, MONTH(B802)=5), "Spring",
  OR(MONTH(B802)=6, MONTH(B802)=7, MONTH(B802)=8), "Summer",
  OR(MONTH(B802)=9, MONTH(B802)=10, MONTH(B802)=11), "Fall"
)</f>
        <v>Summer</v>
      </c>
    </row>
    <row r="803" spans="1:11">
      <c r="A803">
        <v>802</v>
      </c>
      <c r="B803" s="1">
        <v>45112</v>
      </c>
      <c r="C803" t="s">
        <v>815</v>
      </c>
      <c r="D803" t="s">
        <v>13</v>
      </c>
      <c r="E803" s="2">
        <v>46</v>
      </c>
      <c r="F803" t="s">
        <v>11</v>
      </c>
      <c r="G803" s="2">
        <v>1</v>
      </c>
      <c r="H803" s="3">
        <v>30</v>
      </c>
      <c r="I803" s="3">
        <v>30</v>
      </c>
      <c r="J803" s="2" t="str">
        <f t="shared" si="12"/>
        <v>45–54</v>
      </c>
      <c r="K803" t="str" cm="1">
        <f t="array" ref="K803">_xlfn.IFS(
  OR(MONTH(B803)=12, MONTH(B803)=1, MONTH(B803)=2), "Winter",
  OR(MONTH(B803)=3, MONTH(B803)=4, MONTH(B803)=5), "Spring",
  OR(MONTH(B803)=6, MONTH(B803)=7, MONTH(B803)=8), "Summer",
  OR(MONTH(B803)=9, MONTH(B803)=10, MONTH(B803)=11), "Fall"
)</f>
        <v>Summer</v>
      </c>
    </row>
    <row r="804" spans="1:11">
      <c r="A804">
        <v>803</v>
      </c>
      <c r="B804" s="1">
        <v>45252</v>
      </c>
      <c r="C804" t="s">
        <v>816</v>
      </c>
      <c r="D804" t="s">
        <v>10</v>
      </c>
      <c r="E804" s="2">
        <v>39</v>
      </c>
      <c r="F804" t="s">
        <v>14</v>
      </c>
      <c r="G804" s="2">
        <v>4</v>
      </c>
      <c r="H804" s="3">
        <v>25</v>
      </c>
      <c r="I804" s="3">
        <v>100</v>
      </c>
      <c r="J804" s="2" t="str">
        <f t="shared" si="12"/>
        <v>35–44</v>
      </c>
      <c r="K804" t="str" cm="1">
        <f t="array" ref="K804">_xlfn.IFS(
  OR(MONTH(B804)=12, MONTH(B804)=1, MONTH(B804)=2), "Winter",
  OR(MONTH(B804)=3, MONTH(B804)=4, MONTH(B804)=5), "Spring",
  OR(MONTH(B804)=6, MONTH(B804)=7, MONTH(B804)=8), "Summer",
  OR(MONTH(B804)=9, MONTH(B804)=10, MONTH(B804)=11), "Fall"
)</f>
        <v>Fall</v>
      </c>
    </row>
    <row r="805" spans="1:11">
      <c r="A805">
        <v>804</v>
      </c>
      <c r="B805" s="1">
        <v>45162</v>
      </c>
      <c r="C805" t="s">
        <v>817</v>
      </c>
      <c r="D805" t="s">
        <v>10</v>
      </c>
      <c r="E805" s="2">
        <v>42</v>
      </c>
      <c r="F805" t="s">
        <v>16</v>
      </c>
      <c r="G805" s="2">
        <v>1</v>
      </c>
      <c r="H805" s="3">
        <v>30</v>
      </c>
      <c r="I805" s="3">
        <v>30</v>
      </c>
      <c r="J805" s="2" t="str">
        <f t="shared" si="12"/>
        <v>35–44</v>
      </c>
      <c r="K805" t="str" cm="1">
        <f t="array" ref="K805">_xlfn.IFS(
  OR(MONTH(B805)=12, MONTH(B805)=1, MONTH(B805)=2), "Winter",
  OR(MONTH(B805)=3, MONTH(B805)=4, MONTH(B805)=5), "Spring",
  OR(MONTH(B805)=6, MONTH(B805)=7, MONTH(B805)=8), "Summer",
  OR(MONTH(B805)=9, MONTH(B805)=10, MONTH(B805)=11), "Fall"
)</f>
        <v>Summer</v>
      </c>
    </row>
    <row r="806" spans="1:11">
      <c r="A806">
        <v>805</v>
      </c>
      <c r="B806" s="1">
        <v>45289</v>
      </c>
      <c r="C806" t="s">
        <v>818</v>
      </c>
      <c r="D806" t="s">
        <v>13</v>
      </c>
      <c r="E806" s="2">
        <v>30</v>
      </c>
      <c r="F806" t="s">
        <v>11</v>
      </c>
      <c r="G806" s="2">
        <v>3</v>
      </c>
      <c r="H806" s="3">
        <v>500</v>
      </c>
      <c r="I806" s="3">
        <v>1500</v>
      </c>
      <c r="J806" s="2" t="str">
        <f t="shared" si="12"/>
        <v>25–34</v>
      </c>
      <c r="K806" t="str" cm="1">
        <f t="array" ref="K806">_xlfn.IFS(
  OR(MONTH(B806)=12, MONTH(B806)=1, MONTH(B806)=2), "Winter",
  OR(MONTH(B806)=3, MONTH(B806)=4, MONTH(B806)=5), "Spring",
  OR(MONTH(B806)=6, MONTH(B806)=7, MONTH(B806)=8), "Summer",
  OR(MONTH(B806)=9, MONTH(B806)=10, MONTH(B806)=11), "Fall"
)</f>
        <v>Winter</v>
      </c>
    </row>
    <row r="807" spans="1:11">
      <c r="A807">
        <v>806</v>
      </c>
      <c r="B807" s="1">
        <v>45005</v>
      </c>
      <c r="C807" t="s">
        <v>819</v>
      </c>
      <c r="D807" t="s">
        <v>13</v>
      </c>
      <c r="E807" s="2">
        <v>35</v>
      </c>
      <c r="F807" t="s">
        <v>11</v>
      </c>
      <c r="G807" s="2">
        <v>3</v>
      </c>
      <c r="H807" s="3">
        <v>300</v>
      </c>
      <c r="I807" s="3">
        <v>900</v>
      </c>
      <c r="J807" s="2" t="str">
        <f t="shared" si="12"/>
        <v>35–44</v>
      </c>
      <c r="K807" t="str" cm="1">
        <f t="array" ref="K807">_xlfn.IFS(
  OR(MONTH(B807)=12, MONTH(B807)=1, MONTH(B807)=2), "Winter",
  OR(MONTH(B807)=3, MONTH(B807)=4, MONTH(B807)=5), "Spring",
  OR(MONTH(B807)=6, MONTH(B807)=7, MONTH(B807)=8), "Summer",
  OR(MONTH(B807)=9, MONTH(B807)=10, MONTH(B807)=11), "Fall"
)</f>
        <v>Spring</v>
      </c>
    </row>
    <row r="808" spans="1:11">
      <c r="A808">
        <v>807</v>
      </c>
      <c r="B808" s="1">
        <v>45149</v>
      </c>
      <c r="C808" t="s">
        <v>820</v>
      </c>
      <c r="D808" t="s">
        <v>13</v>
      </c>
      <c r="E808" s="2">
        <v>50</v>
      </c>
      <c r="F808" t="s">
        <v>16</v>
      </c>
      <c r="G808" s="2">
        <v>4</v>
      </c>
      <c r="H808" s="3">
        <v>50</v>
      </c>
      <c r="I808" s="3">
        <v>200</v>
      </c>
      <c r="J808" s="2" t="str">
        <f t="shared" si="12"/>
        <v>45–54</v>
      </c>
      <c r="K808" t="str" cm="1">
        <f t="array" ref="K808">_xlfn.IFS(
  OR(MONTH(B808)=12, MONTH(B808)=1, MONTH(B808)=2), "Winter",
  OR(MONTH(B808)=3, MONTH(B808)=4, MONTH(B808)=5), "Spring",
  OR(MONTH(B808)=6, MONTH(B808)=7, MONTH(B808)=8), "Summer",
  OR(MONTH(B808)=9, MONTH(B808)=10, MONTH(B808)=11), "Fall"
)</f>
        <v>Summer</v>
      </c>
    </row>
    <row r="809" spans="1:11">
      <c r="A809">
        <v>808</v>
      </c>
      <c r="B809" s="1">
        <v>45017</v>
      </c>
      <c r="C809" t="s">
        <v>821</v>
      </c>
      <c r="D809" t="s">
        <v>10</v>
      </c>
      <c r="E809" s="2">
        <v>33</v>
      </c>
      <c r="F809" t="s">
        <v>11</v>
      </c>
      <c r="G809" s="2">
        <v>4</v>
      </c>
      <c r="H809" s="3">
        <v>500</v>
      </c>
      <c r="I809" s="3">
        <v>2000</v>
      </c>
      <c r="J809" s="2" t="str">
        <f t="shared" si="12"/>
        <v>25–34</v>
      </c>
      <c r="K809" t="str" cm="1">
        <f t="array" ref="K809">_xlfn.IFS(
  OR(MONTH(B809)=12, MONTH(B809)=1, MONTH(B809)=2), "Winter",
  OR(MONTH(B809)=3, MONTH(B809)=4, MONTH(B809)=5), "Spring",
  OR(MONTH(B809)=6, MONTH(B809)=7, MONTH(B809)=8), "Summer",
  OR(MONTH(B809)=9, MONTH(B809)=10, MONTH(B809)=11), "Fall"
)</f>
        <v>Spring</v>
      </c>
    </row>
    <row r="810" spans="1:11">
      <c r="A810">
        <v>809</v>
      </c>
      <c r="B810" s="1">
        <v>45194</v>
      </c>
      <c r="C810" t="s">
        <v>822</v>
      </c>
      <c r="D810" t="s">
        <v>13</v>
      </c>
      <c r="E810" s="2">
        <v>62</v>
      </c>
      <c r="F810" t="s">
        <v>11</v>
      </c>
      <c r="G810" s="2">
        <v>2</v>
      </c>
      <c r="H810" s="3">
        <v>50</v>
      </c>
      <c r="I810" s="3">
        <v>100</v>
      </c>
      <c r="J810" s="2" t="str">
        <f t="shared" si="12"/>
        <v>55–64</v>
      </c>
      <c r="K810" t="str" cm="1">
        <f t="array" ref="K810">_xlfn.IFS(
  OR(MONTH(B810)=12, MONTH(B810)=1, MONTH(B810)=2), "Winter",
  OR(MONTH(B810)=3, MONTH(B810)=4, MONTH(B810)=5), "Spring",
  OR(MONTH(B810)=6, MONTH(B810)=7, MONTH(B810)=8), "Summer",
  OR(MONTH(B810)=9, MONTH(B810)=10, MONTH(B810)=11), "Fall"
)</f>
        <v>Fall</v>
      </c>
    </row>
    <row r="811" spans="1:11">
      <c r="A811">
        <v>810</v>
      </c>
      <c r="B811" s="1">
        <v>45260</v>
      </c>
      <c r="C811" t="s">
        <v>823</v>
      </c>
      <c r="D811" t="s">
        <v>10</v>
      </c>
      <c r="E811" s="2">
        <v>59</v>
      </c>
      <c r="F811" t="s">
        <v>16</v>
      </c>
      <c r="G811" s="2">
        <v>4</v>
      </c>
      <c r="H811" s="3">
        <v>25</v>
      </c>
      <c r="I811" s="3">
        <v>100</v>
      </c>
      <c r="J811" s="2" t="str">
        <f t="shared" si="12"/>
        <v>55–64</v>
      </c>
      <c r="K811" t="str" cm="1">
        <f t="array" ref="K811">_xlfn.IFS(
  OR(MONTH(B811)=12, MONTH(B811)=1, MONTH(B811)=2), "Winter",
  OR(MONTH(B811)=3, MONTH(B811)=4, MONTH(B811)=5), "Spring",
  OR(MONTH(B811)=6, MONTH(B811)=7, MONTH(B811)=8), "Summer",
  OR(MONTH(B811)=9, MONTH(B811)=10, MONTH(B811)=11), "Fall"
)</f>
        <v>Fall</v>
      </c>
    </row>
    <row r="812" spans="1:11">
      <c r="A812">
        <v>811</v>
      </c>
      <c r="B812" s="1">
        <v>45065</v>
      </c>
      <c r="C812" t="s">
        <v>824</v>
      </c>
      <c r="D812" t="s">
        <v>10</v>
      </c>
      <c r="E812" s="2">
        <v>61</v>
      </c>
      <c r="F812" t="s">
        <v>11</v>
      </c>
      <c r="G812" s="2">
        <v>2</v>
      </c>
      <c r="H812" s="3">
        <v>25</v>
      </c>
      <c r="I812" s="3">
        <v>50</v>
      </c>
      <c r="J812" s="2" t="str">
        <f t="shared" si="12"/>
        <v>55–64</v>
      </c>
      <c r="K812" t="str" cm="1">
        <f t="array" ref="K812">_xlfn.IFS(
  OR(MONTH(B812)=12, MONTH(B812)=1, MONTH(B812)=2), "Winter",
  OR(MONTH(B812)=3, MONTH(B812)=4, MONTH(B812)=5), "Spring",
  OR(MONTH(B812)=6, MONTH(B812)=7, MONTH(B812)=8), "Summer",
  OR(MONTH(B812)=9, MONTH(B812)=10, MONTH(B812)=11), "Fall"
)</f>
        <v>Spring</v>
      </c>
    </row>
    <row r="813" spans="1:11">
      <c r="A813">
        <v>812</v>
      </c>
      <c r="B813" s="1">
        <v>45242</v>
      </c>
      <c r="C813" t="s">
        <v>825</v>
      </c>
      <c r="D813" t="s">
        <v>10</v>
      </c>
      <c r="E813" s="2">
        <v>19</v>
      </c>
      <c r="F813" t="s">
        <v>16</v>
      </c>
      <c r="G813" s="2">
        <v>3</v>
      </c>
      <c r="H813" s="3">
        <v>25</v>
      </c>
      <c r="I813" s="3">
        <v>75</v>
      </c>
      <c r="J813" s="2" t="str">
        <f t="shared" si="12"/>
        <v>18–24</v>
      </c>
      <c r="K813" t="str" cm="1">
        <f t="array" ref="K813">_xlfn.IFS(
  OR(MONTH(B813)=12, MONTH(B813)=1, MONTH(B813)=2), "Winter",
  OR(MONTH(B813)=3, MONTH(B813)=4, MONTH(B813)=5), "Spring",
  OR(MONTH(B813)=6, MONTH(B813)=7, MONTH(B813)=8), "Summer",
  OR(MONTH(B813)=9, MONTH(B813)=10, MONTH(B813)=11), "Fall"
)</f>
        <v>Fall</v>
      </c>
    </row>
    <row r="814" spans="1:11">
      <c r="A814">
        <v>813</v>
      </c>
      <c r="B814" s="1">
        <v>45202</v>
      </c>
      <c r="C814" t="s">
        <v>826</v>
      </c>
      <c r="D814" t="s">
        <v>10</v>
      </c>
      <c r="E814" s="2">
        <v>52</v>
      </c>
      <c r="F814" t="s">
        <v>16</v>
      </c>
      <c r="G814" s="2">
        <v>3</v>
      </c>
      <c r="H814" s="3">
        <v>50</v>
      </c>
      <c r="I814" s="3">
        <v>150</v>
      </c>
      <c r="J814" s="2" t="str">
        <f t="shared" si="12"/>
        <v>45–54</v>
      </c>
      <c r="K814" t="str" cm="1">
        <f t="array" ref="K814">_xlfn.IFS(
  OR(MONTH(B814)=12, MONTH(B814)=1, MONTH(B814)=2), "Winter",
  OR(MONTH(B814)=3, MONTH(B814)=4, MONTH(B814)=5), "Spring",
  OR(MONTH(B814)=6, MONTH(B814)=7, MONTH(B814)=8), "Summer",
  OR(MONTH(B814)=9, MONTH(B814)=10, MONTH(B814)=11), "Fall"
)</f>
        <v>Fall</v>
      </c>
    </row>
    <row r="815" spans="1:11">
      <c r="A815">
        <v>814</v>
      </c>
      <c r="B815" s="1">
        <v>45174</v>
      </c>
      <c r="C815" t="s">
        <v>827</v>
      </c>
      <c r="D815" t="s">
        <v>13</v>
      </c>
      <c r="E815" s="2">
        <v>59</v>
      </c>
      <c r="F815" t="s">
        <v>14</v>
      </c>
      <c r="G815" s="2">
        <v>1</v>
      </c>
      <c r="H815" s="3">
        <v>500</v>
      </c>
      <c r="I815" s="3">
        <v>500</v>
      </c>
      <c r="J815" s="2" t="str">
        <f t="shared" si="12"/>
        <v>55–64</v>
      </c>
      <c r="K815" t="str" cm="1">
        <f t="array" ref="K815">_xlfn.IFS(
  OR(MONTH(B815)=12, MONTH(B815)=1, MONTH(B815)=2), "Winter",
  OR(MONTH(B815)=3, MONTH(B815)=4, MONTH(B815)=5), "Spring",
  OR(MONTH(B815)=6, MONTH(B815)=7, MONTH(B815)=8), "Summer",
  OR(MONTH(B815)=9, MONTH(B815)=10, MONTH(B815)=11), "Fall"
)</f>
        <v>Fall</v>
      </c>
    </row>
    <row r="816" spans="1:11">
      <c r="A816">
        <v>815</v>
      </c>
      <c r="B816" s="1">
        <v>45165</v>
      </c>
      <c r="C816" t="s">
        <v>828</v>
      </c>
      <c r="D816" t="s">
        <v>13</v>
      </c>
      <c r="E816" s="2">
        <v>51</v>
      </c>
      <c r="F816" t="s">
        <v>14</v>
      </c>
      <c r="G816" s="2">
        <v>3</v>
      </c>
      <c r="H816" s="3">
        <v>25</v>
      </c>
      <c r="I816" s="3">
        <v>75</v>
      </c>
      <c r="J816" s="2" t="str">
        <f t="shared" si="12"/>
        <v>45–54</v>
      </c>
      <c r="K816" t="str" cm="1">
        <f t="array" ref="K816">_xlfn.IFS(
  OR(MONTH(B816)=12, MONTH(B816)=1, MONTH(B816)=2), "Winter",
  OR(MONTH(B816)=3, MONTH(B816)=4, MONTH(B816)=5), "Spring",
  OR(MONTH(B816)=6, MONTH(B816)=7, MONTH(B816)=8), "Summer",
  OR(MONTH(B816)=9, MONTH(B816)=10, MONTH(B816)=11), "Fall"
)</f>
        <v>Summer</v>
      </c>
    </row>
    <row r="817" spans="1:11">
      <c r="A817">
        <v>816</v>
      </c>
      <c r="B817" s="1">
        <v>45150</v>
      </c>
      <c r="C817" t="s">
        <v>829</v>
      </c>
      <c r="D817" t="s">
        <v>10</v>
      </c>
      <c r="E817" s="2">
        <v>47</v>
      </c>
      <c r="F817" t="s">
        <v>11</v>
      </c>
      <c r="G817" s="2">
        <v>2</v>
      </c>
      <c r="H817" s="3">
        <v>500</v>
      </c>
      <c r="I817" s="3">
        <v>1000</v>
      </c>
      <c r="J817" s="2" t="str">
        <f t="shared" si="12"/>
        <v>45–54</v>
      </c>
      <c r="K817" t="str" cm="1">
        <f t="array" ref="K817">_xlfn.IFS(
  OR(MONTH(B817)=12, MONTH(B817)=1, MONTH(B817)=2), "Winter",
  OR(MONTH(B817)=3, MONTH(B817)=4, MONTH(B817)=5), "Spring",
  OR(MONTH(B817)=6, MONTH(B817)=7, MONTH(B817)=8), "Summer",
  OR(MONTH(B817)=9, MONTH(B817)=10, MONTH(B817)=11), "Fall"
)</f>
        <v>Summer</v>
      </c>
    </row>
    <row r="818" spans="1:11">
      <c r="A818">
        <v>817</v>
      </c>
      <c r="B818" s="1">
        <v>45230</v>
      </c>
      <c r="C818" t="s">
        <v>830</v>
      </c>
      <c r="D818" t="s">
        <v>10</v>
      </c>
      <c r="E818" s="2">
        <v>30</v>
      </c>
      <c r="F818" t="s">
        <v>11</v>
      </c>
      <c r="G818" s="2">
        <v>4</v>
      </c>
      <c r="H818" s="3">
        <v>50</v>
      </c>
      <c r="I818" s="3">
        <v>200</v>
      </c>
      <c r="J818" s="2" t="str">
        <f t="shared" si="12"/>
        <v>25–34</v>
      </c>
      <c r="K818" t="str" cm="1">
        <f t="array" ref="K818">_xlfn.IFS(
  OR(MONTH(B818)=12, MONTH(B818)=1, MONTH(B818)=2), "Winter",
  OR(MONTH(B818)=3, MONTH(B818)=4, MONTH(B818)=5), "Spring",
  OR(MONTH(B818)=6, MONTH(B818)=7, MONTH(B818)=8), "Summer",
  OR(MONTH(B818)=9, MONTH(B818)=10, MONTH(B818)=11), "Fall"
)</f>
        <v>Fall</v>
      </c>
    </row>
    <row r="819" spans="1:11">
      <c r="A819">
        <v>818</v>
      </c>
      <c r="B819" s="1">
        <v>45064</v>
      </c>
      <c r="C819" t="s">
        <v>831</v>
      </c>
      <c r="D819" t="s">
        <v>10</v>
      </c>
      <c r="E819" s="2">
        <v>30</v>
      </c>
      <c r="F819" t="s">
        <v>16</v>
      </c>
      <c r="G819" s="2">
        <v>1</v>
      </c>
      <c r="H819" s="3">
        <v>500</v>
      </c>
      <c r="I819" s="3">
        <v>500</v>
      </c>
      <c r="J819" s="2" t="str">
        <f t="shared" si="12"/>
        <v>25–34</v>
      </c>
      <c r="K819" t="str" cm="1">
        <f t="array" ref="K819">_xlfn.IFS(
  OR(MONTH(B819)=12, MONTH(B819)=1, MONTH(B819)=2), "Winter",
  OR(MONTH(B819)=3, MONTH(B819)=4, MONTH(B819)=5), "Spring",
  OR(MONTH(B819)=6, MONTH(B819)=7, MONTH(B819)=8), "Summer",
  OR(MONTH(B819)=9, MONTH(B819)=10, MONTH(B819)=11), "Fall"
)</f>
        <v>Spring</v>
      </c>
    </row>
    <row r="820" spans="1:11">
      <c r="A820">
        <v>819</v>
      </c>
      <c r="B820" s="1">
        <v>45092</v>
      </c>
      <c r="C820" t="s">
        <v>832</v>
      </c>
      <c r="D820" t="s">
        <v>13</v>
      </c>
      <c r="E820" s="2">
        <v>35</v>
      </c>
      <c r="F820" t="s">
        <v>11</v>
      </c>
      <c r="G820" s="2">
        <v>2</v>
      </c>
      <c r="H820" s="3">
        <v>50</v>
      </c>
      <c r="I820" s="3">
        <v>100</v>
      </c>
      <c r="J820" s="2" t="str">
        <f t="shared" si="12"/>
        <v>35–44</v>
      </c>
      <c r="K820" t="str" cm="1">
        <f t="array" ref="K820">_xlfn.IFS(
  OR(MONTH(B820)=12, MONTH(B820)=1, MONTH(B820)=2), "Winter",
  OR(MONTH(B820)=3, MONTH(B820)=4, MONTH(B820)=5), "Spring",
  OR(MONTH(B820)=6, MONTH(B820)=7, MONTH(B820)=8), "Summer",
  OR(MONTH(B820)=9, MONTH(B820)=10, MONTH(B820)=11), "Fall"
)</f>
        <v>Summer</v>
      </c>
    </row>
    <row r="821" spans="1:11">
      <c r="A821">
        <v>820</v>
      </c>
      <c r="B821" s="1">
        <v>45052</v>
      </c>
      <c r="C821" t="s">
        <v>833</v>
      </c>
      <c r="D821" t="s">
        <v>10</v>
      </c>
      <c r="E821" s="2">
        <v>49</v>
      </c>
      <c r="F821" t="s">
        <v>16</v>
      </c>
      <c r="G821" s="2">
        <v>4</v>
      </c>
      <c r="H821" s="3">
        <v>50</v>
      </c>
      <c r="I821" s="3">
        <v>200</v>
      </c>
      <c r="J821" s="2" t="str">
        <f t="shared" si="12"/>
        <v>45–54</v>
      </c>
      <c r="K821" t="str" cm="1">
        <f t="array" ref="K821">_xlfn.IFS(
  OR(MONTH(B821)=12, MONTH(B821)=1, MONTH(B821)=2), "Winter",
  OR(MONTH(B821)=3, MONTH(B821)=4, MONTH(B821)=5), "Spring",
  OR(MONTH(B821)=6, MONTH(B821)=7, MONTH(B821)=8), "Summer",
  OR(MONTH(B821)=9, MONTH(B821)=10, MONTH(B821)=11), "Fall"
)</f>
        <v>Spring</v>
      </c>
    </row>
    <row r="822" spans="1:11">
      <c r="A822">
        <v>821</v>
      </c>
      <c r="B822" s="1">
        <v>44971</v>
      </c>
      <c r="C822" t="s">
        <v>834</v>
      </c>
      <c r="D822" t="s">
        <v>10</v>
      </c>
      <c r="E822" s="2">
        <v>49</v>
      </c>
      <c r="F822" t="s">
        <v>16</v>
      </c>
      <c r="G822" s="2">
        <v>1</v>
      </c>
      <c r="H822" s="3">
        <v>300</v>
      </c>
      <c r="I822" s="3">
        <v>300</v>
      </c>
      <c r="J822" s="2" t="str">
        <f t="shared" si="12"/>
        <v>45–54</v>
      </c>
      <c r="K822" t="str" cm="1">
        <f t="array" ref="K822">_xlfn.IFS(
  OR(MONTH(B822)=12, MONTH(B822)=1, MONTH(B822)=2), "Winter",
  OR(MONTH(B822)=3, MONTH(B822)=4, MONTH(B822)=5), "Spring",
  OR(MONTH(B822)=6, MONTH(B822)=7, MONTH(B822)=8), "Summer",
  OR(MONTH(B822)=9, MONTH(B822)=10, MONTH(B822)=11), "Fall"
)</f>
        <v>Winter</v>
      </c>
    </row>
    <row r="823" spans="1:11">
      <c r="A823">
        <v>822</v>
      </c>
      <c r="B823" s="1">
        <v>45069</v>
      </c>
      <c r="C823" t="s">
        <v>835</v>
      </c>
      <c r="D823" t="s">
        <v>13</v>
      </c>
      <c r="E823" s="2">
        <v>52</v>
      </c>
      <c r="F823" t="s">
        <v>11</v>
      </c>
      <c r="G823" s="2">
        <v>3</v>
      </c>
      <c r="H823" s="3">
        <v>50</v>
      </c>
      <c r="I823" s="3">
        <v>150</v>
      </c>
      <c r="J823" s="2" t="str">
        <f t="shared" si="12"/>
        <v>45–54</v>
      </c>
      <c r="K823" t="str" cm="1">
        <f t="array" ref="K823">_xlfn.IFS(
  OR(MONTH(B823)=12, MONTH(B823)=1, MONTH(B823)=2), "Winter",
  OR(MONTH(B823)=3, MONTH(B823)=4, MONTH(B823)=5), "Spring",
  OR(MONTH(B823)=6, MONTH(B823)=7, MONTH(B823)=8), "Summer",
  OR(MONTH(B823)=9, MONTH(B823)=10, MONTH(B823)=11), "Fall"
)</f>
        <v>Spring</v>
      </c>
    </row>
    <row r="824" spans="1:11">
      <c r="A824">
        <v>823</v>
      </c>
      <c r="B824" s="1">
        <v>45157</v>
      </c>
      <c r="C824" t="s">
        <v>836</v>
      </c>
      <c r="D824" t="s">
        <v>13</v>
      </c>
      <c r="E824" s="2">
        <v>56</v>
      </c>
      <c r="F824" t="s">
        <v>16</v>
      </c>
      <c r="G824" s="2">
        <v>2</v>
      </c>
      <c r="H824" s="3">
        <v>50</v>
      </c>
      <c r="I824" s="3">
        <v>100</v>
      </c>
      <c r="J824" s="2" t="str">
        <f t="shared" si="12"/>
        <v>55–64</v>
      </c>
      <c r="K824" t="str" cm="1">
        <f t="array" ref="K824">_xlfn.IFS(
  OR(MONTH(B824)=12, MONTH(B824)=1, MONTH(B824)=2), "Winter",
  OR(MONTH(B824)=3, MONTH(B824)=4, MONTH(B824)=5), "Spring",
  OR(MONTH(B824)=6, MONTH(B824)=7, MONTH(B824)=8), "Summer",
  OR(MONTH(B824)=9, MONTH(B824)=10, MONTH(B824)=11), "Fall"
)</f>
        <v>Summer</v>
      </c>
    </row>
    <row r="825" spans="1:11">
      <c r="A825">
        <v>824</v>
      </c>
      <c r="B825" s="1">
        <v>45051</v>
      </c>
      <c r="C825" t="s">
        <v>837</v>
      </c>
      <c r="D825" t="s">
        <v>10</v>
      </c>
      <c r="E825" s="2">
        <v>63</v>
      </c>
      <c r="F825" t="s">
        <v>14</v>
      </c>
      <c r="G825" s="2">
        <v>4</v>
      </c>
      <c r="H825" s="3">
        <v>30</v>
      </c>
      <c r="I825" s="3">
        <v>120</v>
      </c>
      <c r="J825" s="2" t="str">
        <f t="shared" si="12"/>
        <v>55–64</v>
      </c>
      <c r="K825" t="str" cm="1">
        <f t="array" ref="K825">_xlfn.IFS(
  OR(MONTH(B825)=12, MONTH(B825)=1, MONTH(B825)=2), "Winter",
  OR(MONTH(B825)=3, MONTH(B825)=4, MONTH(B825)=5), "Spring",
  OR(MONTH(B825)=6, MONTH(B825)=7, MONTH(B825)=8), "Summer",
  OR(MONTH(B825)=9, MONTH(B825)=10, MONTH(B825)=11), "Fall"
)</f>
        <v>Spring</v>
      </c>
    </row>
    <row r="826" spans="1:11">
      <c r="A826">
        <v>825</v>
      </c>
      <c r="B826" s="1">
        <v>45164</v>
      </c>
      <c r="C826" t="s">
        <v>838</v>
      </c>
      <c r="D826" t="s">
        <v>13</v>
      </c>
      <c r="E826" s="2">
        <v>46</v>
      </c>
      <c r="F826" t="s">
        <v>11</v>
      </c>
      <c r="G826" s="2">
        <v>1</v>
      </c>
      <c r="H826" s="3">
        <v>25</v>
      </c>
      <c r="I826" s="3">
        <v>25</v>
      </c>
      <c r="J826" s="2" t="str">
        <f t="shared" si="12"/>
        <v>45–54</v>
      </c>
      <c r="K826" t="str" cm="1">
        <f t="array" ref="K826">_xlfn.IFS(
  OR(MONTH(B826)=12, MONTH(B826)=1, MONTH(B826)=2), "Winter",
  OR(MONTH(B826)=3, MONTH(B826)=4, MONTH(B826)=5), "Spring",
  OR(MONTH(B826)=6, MONTH(B826)=7, MONTH(B826)=8), "Summer",
  OR(MONTH(B826)=9, MONTH(B826)=10, MONTH(B826)=11), "Fall"
)</f>
        <v>Summer</v>
      </c>
    </row>
    <row r="827" spans="1:11">
      <c r="A827">
        <v>826</v>
      </c>
      <c r="B827" s="1">
        <v>45218</v>
      </c>
      <c r="C827" t="s">
        <v>839</v>
      </c>
      <c r="D827" t="s">
        <v>13</v>
      </c>
      <c r="E827" s="2">
        <v>46</v>
      </c>
      <c r="F827" t="s">
        <v>14</v>
      </c>
      <c r="G827" s="2">
        <v>1</v>
      </c>
      <c r="H827" s="3">
        <v>300</v>
      </c>
      <c r="I827" s="3">
        <v>300</v>
      </c>
      <c r="J827" s="2" t="str">
        <f t="shared" si="12"/>
        <v>45–54</v>
      </c>
      <c r="K827" t="str" cm="1">
        <f t="array" ref="K827">_xlfn.IFS(
  OR(MONTH(B827)=12, MONTH(B827)=1, MONTH(B827)=2), "Winter",
  OR(MONTH(B827)=3, MONTH(B827)=4, MONTH(B827)=5), "Spring",
  OR(MONTH(B827)=6, MONTH(B827)=7, MONTH(B827)=8), "Summer",
  OR(MONTH(B827)=9, MONTH(B827)=10, MONTH(B827)=11), "Fall"
)</f>
        <v>Fall</v>
      </c>
    </row>
    <row r="828" spans="1:11">
      <c r="A828">
        <v>827</v>
      </c>
      <c r="B828" s="1">
        <v>45239</v>
      </c>
      <c r="C828" t="s">
        <v>840</v>
      </c>
      <c r="D828" t="s">
        <v>10</v>
      </c>
      <c r="E828" s="2">
        <v>61</v>
      </c>
      <c r="F828" t="s">
        <v>11</v>
      </c>
      <c r="G828" s="2">
        <v>3</v>
      </c>
      <c r="H828" s="3">
        <v>300</v>
      </c>
      <c r="I828" s="3">
        <v>900</v>
      </c>
      <c r="J828" s="2" t="str">
        <f t="shared" si="12"/>
        <v>55–64</v>
      </c>
      <c r="K828" t="str" cm="1">
        <f t="array" ref="K828">_xlfn.IFS(
  OR(MONTH(B828)=12, MONTH(B828)=1, MONTH(B828)=2), "Winter",
  OR(MONTH(B828)=3, MONTH(B828)=4, MONTH(B828)=5), "Spring",
  OR(MONTH(B828)=6, MONTH(B828)=7, MONTH(B828)=8), "Summer",
  OR(MONTH(B828)=9, MONTH(B828)=10, MONTH(B828)=11), "Fall"
)</f>
        <v>Fall</v>
      </c>
    </row>
    <row r="829" spans="1:11">
      <c r="A829">
        <v>828</v>
      </c>
      <c r="B829" s="1">
        <v>45269</v>
      </c>
      <c r="C829" t="s">
        <v>841</v>
      </c>
      <c r="D829" t="s">
        <v>13</v>
      </c>
      <c r="E829" s="2">
        <v>33</v>
      </c>
      <c r="F829" t="s">
        <v>16</v>
      </c>
      <c r="G829" s="2">
        <v>4</v>
      </c>
      <c r="H829" s="3">
        <v>300</v>
      </c>
      <c r="I829" s="3">
        <v>1200</v>
      </c>
      <c r="J829" s="2" t="str">
        <f t="shared" si="12"/>
        <v>25–34</v>
      </c>
      <c r="K829" t="str" cm="1">
        <f t="array" ref="K829">_xlfn.IFS(
  OR(MONTH(B829)=12, MONTH(B829)=1, MONTH(B829)=2), "Winter",
  OR(MONTH(B829)=3, MONTH(B829)=4, MONTH(B829)=5), "Spring",
  OR(MONTH(B829)=6, MONTH(B829)=7, MONTH(B829)=8), "Summer",
  OR(MONTH(B829)=9, MONTH(B829)=10, MONTH(B829)=11), "Fall"
)</f>
        <v>Winter</v>
      </c>
    </row>
    <row r="830" spans="1:11">
      <c r="A830">
        <v>829</v>
      </c>
      <c r="B830" s="1">
        <v>45121</v>
      </c>
      <c r="C830" t="s">
        <v>842</v>
      </c>
      <c r="D830" t="s">
        <v>10</v>
      </c>
      <c r="E830" s="2">
        <v>61</v>
      </c>
      <c r="F830" t="s">
        <v>11</v>
      </c>
      <c r="G830" s="2">
        <v>3</v>
      </c>
      <c r="H830" s="3">
        <v>30</v>
      </c>
      <c r="I830" s="3">
        <v>90</v>
      </c>
      <c r="J830" s="2" t="str">
        <f t="shared" si="12"/>
        <v>55–64</v>
      </c>
      <c r="K830" t="str" cm="1">
        <f t="array" ref="K830">_xlfn.IFS(
  OR(MONTH(B830)=12, MONTH(B830)=1, MONTH(B830)=2), "Winter",
  OR(MONTH(B830)=3, MONTH(B830)=4, MONTH(B830)=5), "Spring",
  OR(MONTH(B830)=6, MONTH(B830)=7, MONTH(B830)=8), "Summer",
  OR(MONTH(B830)=9, MONTH(B830)=10, MONTH(B830)=11), "Fall"
)</f>
        <v>Summer</v>
      </c>
    </row>
    <row r="831" spans="1:11">
      <c r="A831">
        <v>830</v>
      </c>
      <c r="B831" s="1">
        <v>45099</v>
      </c>
      <c r="C831" t="s">
        <v>843</v>
      </c>
      <c r="D831" t="s">
        <v>13</v>
      </c>
      <c r="E831" s="2">
        <v>64</v>
      </c>
      <c r="F831" t="s">
        <v>14</v>
      </c>
      <c r="G831" s="2">
        <v>3</v>
      </c>
      <c r="H831" s="3">
        <v>50</v>
      </c>
      <c r="I831" s="3">
        <v>150</v>
      </c>
      <c r="J831" s="2" t="str">
        <f t="shared" si="12"/>
        <v>55–64</v>
      </c>
      <c r="K831" t="str" cm="1">
        <f t="array" ref="K831">_xlfn.IFS(
  OR(MONTH(B831)=12, MONTH(B831)=1, MONTH(B831)=2), "Winter",
  OR(MONTH(B831)=3, MONTH(B831)=4, MONTH(B831)=5), "Spring",
  OR(MONTH(B831)=6, MONTH(B831)=7, MONTH(B831)=8), "Summer",
  OR(MONTH(B831)=9, MONTH(B831)=10, MONTH(B831)=11), "Fall"
)</f>
        <v>Summer</v>
      </c>
    </row>
    <row r="832" spans="1:11">
      <c r="A832">
        <v>831</v>
      </c>
      <c r="B832" s="1">
        <v>44941</v>
      </c>
      <c r="C832" t="s">
        <v>844</v>
      </c>
      <c r="D832" t="s">
        <v>10</v>
      </c>
      <c r="E832" s="2">
        <v>27</v>
      </c>
      <c r="F832" t="s">
        <v>16</v>
      </c>
      <c r="G832" s="2">
        <v>4</v>
      </c>
      <c r="H832" s="3">
        <v>25</v>
      </c>
      <c r="I832" s="3">
        <v>100</v>
      </c>
      <c r="J832" s="2" t="str">
        <f t="shared" si="12"/>
        <v>25–34</v>
      </c>
      <c r="K832" t="str" cm="1">
        <f t="array" ref="K832">_xlfn.IFS(
  OR(MONTH(B832)=12, MONTH(B832)=1, MONTH(B832)=2), "Winter",
  OR(MONTH(B832)=3, MONTH(B832)=4, MONTH(B832)=5), "Spring",
  OR(MONTH(B832)=6, MONTH(B832)=7, MONTH(B832)=8), "Summer",
  OR(MONTH(B832)=9, MONTH(B832)=10, MONTH(B832)=11), "Fall"
)</f>
        <v>Winter</v>
      </c>
    </row>
    <row r="833" spans="1:11">
      <c r="A833">
        <v>832</v>
      </c>
      <c r="B833" s="1">
        <v>45180</v>
      </c>
      <c r="C833" t="s">
        <v>845</v>
      </c>
      <c r="D833" t="s">
        <v>10</v>
      </c>
      <c r="E833" s="2">
        <v>47</v>
      </c>
      <c r="F833" t="s">
        <v>11</v>
      </c>
      <c r="G833" s="2">
        <v>4</v>
      </c>
      <c r="H833" s="3">
        <v>500</v>
      </c>
      <c r="I833" s="3">
        <v>2000</v>
      </c>
      <c r="J833" s="2" t="str">
        <f t="shared" si="12"/>
        <v>45–54</v>
      </c>
      <c r="K833" t="str" cm="1">
        <f t="array" ref="K833">_xlfn.IFS(
  OR(MONTH(B833)=12, MONTH(B833)=1, MONTH(B833)=2), "Winter",
  OR(MONTH(B833)=3, MONTH(B833)=4, MONTH(B833)=5), "Spring",
  OR(MONTH(B833)=6, MONTH(B833)=7, MONTH(B833)=8), "Summer",
  OR(MONTH(B833)=9, MONTH(B833)=10, MONTH(B833)=11), "Fall"
)</f>
        <v>Fall</v>
      </c>
    </row>
    <row r="834" spans="1:11">
      <c r="A834">
        <v>833</v>
      </c>
      <c r="B834" s="1">
        <v>45093</v>
      </c>
      <c r="C834" t="s">
        <v>846</v>
      </c>
      <c r="D834" t="s">
        <v>10</v>
      </c>
      <c r="E834" s="2">
        <v>42</v>
      </c>
      <c r="F834" t="s">
        <v>11</v>
      </c>
      <c r="G834" s="2">
        <v>4</v>
      </c>
      <c r="H834" s="3">
        <v>50</v>
      </c>
      <c r="I834" s="3">
        <v>200</v>
      </c>
      <c r="J834" s="2" t="str">
        <f t="shared" ref="J834:J897" si="13">IF(AND(E834&gt;=18, E834&lt;=24), "18–24",
 IF(AND(E834&gt;=25, E834&lt;=34), "25–34",
 IF(AND(E834&gt;=35, E834&lt;=44), "35–44",
 IF(AND(E834&gt;=45, E834&lt;=54), "45–54",
 IF(AND(E834&gt;=55, E834&lt;=64), "55–64", "Other")))))</f>
        <v>35–44</v>
      </c>
      <c r="K834" t="str" cm="1">
        <f t="array" ref="K834">_xlfn.IFS(
  OR(MONTH(B834)=12, MONTH(B834)=1, MONTH(B834)=2), "Winter",
  OR(MONTH(B834)=3, MONTH(B834)=4, MONTH(B834)=5), "Spring",
  OR(MONTH(B834)=6, MONTH(B834)=7, MONTH(B834)=8), "Summer",
  OR(MONTH(B834)=9, MONTH(B834)=10, MONTH(B834)=11), "Fall"
)</f>
        <v>Summer</v>
      </c>
    </row>
    <row r="835" spans="1:11">
      <c r="A835">
        <v>834</v>
      </c>
      <c r="B835" s="1">
        <v>45020</v>
      </c>
      <c r="C835" t="s">
        <v>847</v>
      </c>
      <c r="D835" t="s">
        <v>13</v>
      </c>
      <c r="E835" s="2">
        <v>56</v>
      </c>
      <c r="F835" t="s">
        <v>11</v>
      </c>
      <c r="G835" s="2">
        <v>2</v>
      </c>
      <c r="H835" s="3">
        <v>30</v>
      </c>
      <c r="I835" s="3">
        <v>60</v>
      </c>
      <c r="J835" s="2" t="str">
        <f t="shared" si="13"/>
        <v>55–64</v>
      </c>
      <c r="K835" t="str" cm="1">
        <f t="array" ref="K835">_xlfn.IFS(
  OR(MONTH(B835)=12, MONTH(B835)=1, MONTH(B835)=2), "Winter",
  OR(MONTH(B835)=3, MONTH(B835)=4, MONTH(B835)=5), "Spring",
  OR(MONTH(B835)=6, MONTH(B835)=7, MONTH(B835)=8), "Summer",
  OR(MONTH(B835)=9, MONTH(B835)=10, MONTH(B835)=11), "Fall"
)</f>
        <v>Spring</v>
      </c>
    </row>
    <row r="836" spans="1:11">
      <c r="A836">
        <v>835</v>
      </c>
      <c r="B836" s="1">
        <v>45176</v>
      </c>
      <c r="C836" t="s">
        <v>848</v>
      </c>
      <c r="D836" t="s">
        <v>10</v>
      </c>
      <c r="E836" s="2">
        <v>37</v>
      </c>
      <c r="F836" t="s">
        <v>14</v>
      </c>
      <c r="G836" s="2">
        <v>4</v>
      </c>
      <c r="H836" s="3">
        <v>50</v>
      </c>
      <c r="I836" s="3">
        <v>200</v>
      </c>
      <c r="J836" s="2" t="str">
        <f t="shared" si="13"/>
        <v>35–44</v>
      </c>
      <c r="K836" t="str" cm="1">
        <f t="array" ref="K836">_xlfn.IFS(
  OR(MONTH(B836)=12, MONTH(B836)=1, MONTH(B836)=2), "Winter",
  OR(MONTH(B836)=3, MONTH(B836)=4, MONTH(B836)=5), "Spring",
  OR(MONTH(B836)=6, MONTH(B836)=7, MONTH(B836)=8), "Summer",
  OR(MONTH(B836)=9, MONTH(B836)=10, MONTH(B836)=11), "Fall"
)</f>
        <v>Fall</v>
      </c>
    </row>
    <row r="837" spans="1:11">
      <c r="A837">
        <v>836</v>
      </c>
      <c r="B837" s="1">
        <v>45035</v>
      </c>
      <c r="C837" t="s">
        <v>849</v>
      </c>
      <c r="D837" t="s">
        <v>13</v>
      </c>
      <c r="E837" s="2">
        <v>22</v>
      </c>
      <c r="F837" t="s">
        <v>14</v>
      </c>
      <c r="G837" s="2">
        <v>1</v>
      </c>
      <c r="H837" s="3">
        <v>50</v>
      </c>
      <c r="I837" s="3">
        <v>50</v>
      </c>
      <c r="J837" s="2" t="str">
        <f t="shared" si="13"/>
        <v>18–24</v>
      </c>
      <c r="K837" t="str" cm="1">
        <f t="array" ref="K837">_xlfn.IFS(
  OR(MONTH(B837)=12, MONTH(B837)=1, MONTH(B837)=2), "Winter",
  OR(MONTH(B837)=3, MONTH(B837)=4, MONTH(B837)=5), "Spring",
  OR(MONTH(B837)=6, MONTH(B837)=7, MONTH(B837)=8), "Summer",
  OR(MONTH(B837)=9, MONTH(B837)=10, MONTH(B837)=11), "Fall"
)</f>
        <v>Spring</v>
      </c>
    </row>
    <row r="838" spans="1:11">
      <c r="A838">
        <v>837</v>
      </c>
      <c r="B838" s="1">
        <v>45108</v>
      </c>
      <c r="C838" t="s">
        <v>850</v>
      </c>
      <c r="D838" t="s">
        <v>10</v>
      </c>
      <c r="E838" s="2">
        <v>18</v>
      </c>
      <c r="F838" t="s">
        <v>11</v>
      </c>
      <c r="G838" s="2">
        <v>3</v>
      </c>
      <c r="H838" s="3">
        <v>30</v>
      </c>
      <c r="I838" s="3">
        <v>90</v>
      </c>
      <c r="J838" s="2" t="str">
        <f t="shared" si="13"/>
        <v>18–24</v>
      </c>
      <c r="K838" t="str" cm="1">
        <f t="array" ref="K838">_xlfn.IFS(
  OR(MONTH(B838)=12, MONTH(B838)=1, MONTH(B838)=2), "Winter",
  OR(MONTH(B838)=3, MONTH(B838)=4, MONTH(B838)=5), "Spring",
  OR(MONTH(B838)=6, MONTH(B838)=7, MONTH(B838)=8), "Summer",
  OR(MONTH(B838)=9, MONTH(B838)=10, MONTH(B838)=11), "Fall"
)</f>
        <v>Summer</v>
      </c>
    </row>
    <row r="839" spans="1:11">
      <c r="A839">
        <v>838</v>
      </c>
      <c r="B839" s="1">
        <v>45059</v>
      </c>
      <c r="C839" t="s">
        <v>851</v>
      </c>
      <c r="D839" t="s">
        <v>10</v>
      </c>
      <c r="E839" s="2">
        <v>47</v>
      </c>
      <c r="F839" t="s">
        <v>16</v>
      </c>
      <c r="G839" s="2">
        <v>2</v>
      </c>
      <c r="H839" s="3">
        <v>300</v>
      </c>
      <c r="I839" s="3">
        <v>600</v>
      </c>
      <c r="J839" s="2" t="str">
        <f t="shared" si="13"/>
        <v>45–54</v>
      </c>
      <c r="K839" t="str" cm="1">
        <f t="array" ref="K839">_xlfn.IFS(
  OR(MONTH(B839)=12, MONTH(B839)=1, MONTH(B839)=2), "Winter",
  OR(MONTH(B839)=3, MONTH(B839)=4, MONTH(B839)=5), "Spring",
  OR(MONTH(B839)=6, MONTH(B839)=7, MONTH(B839)=8), "Summer",
  OR(MONTH(B839)=9, MONTH(B839)=10, MONTH(B839)=11), "Fall"
)</f>
        <v>Spring</v>
      </c>
    </row>
    <row r="840" spans="1:11">
      <c r="A840">
        <v>839</v>
      </c>
      <c r="B840" s="1">
        <v>45101</v>
      </c>
      <c r="C840" t="s">
        <v>852</v>
      </c>
      <c r="D840" t="s">
        <v>13</v>
      </c>
      <c r="E840" s="2">
        <v>20</v>
      </c>
      <c r="F840" t="s">
        <v>16</v>
      </c>
      <c r="G840" s="2">
        <v>4</v>
      </c>
      <c r="H840" s="3">
        <v>300</v>
      </c>
      <c r="I840" s="3">
        <v>1200</v>
      </c>
      <c r="J840" s="2" t="str">
        <f t="shared" si="13"/>
        <v>18–24</v>
      </c>
      <c r="K840" t="str" cm="1">
        <f t="array" ref="K840">_xlfn.IFS(
  OR(MONTH(B840)=12, MONTH(B840)=1, MONTH(B840)=2), "Winter",
  OR(MONTH(B840)=3, MONTH(B840)=4, MONTH(B840)=5), "Spring",
  OR(MONTH(B840)=6, MONTH(B840)=7, MONTH(B840)=8), "Summer",
  OR(MONTH(B840)=9, MONTH(B840)=10, MONTH(B840)=11), "Fall"
)</f>
        <v>Summer</v>
      </c>
    </row>
    <row r="841" spans="1:11">
      <c r="A841">
        <v>840</v>
      </c>
      <c r="B841" s="1">
        <v>45070</v>
      </c>
      <c r="C841" t="s">
        <v>853</v>
      </c>
      <c r="D841" t="s">
        <v>10</v>
      </c>
      <c r="E841" s="2">
        <v>62</v>
      </c>
      <c r="F841" t="s">
        <v>14</v>
      </c>
      <c r="G841" s="2">
        <v>2</v>
      </c>
      <c r="H841" s="3">
        <v>25</v>
      </c>
      <c r="I841" s="3">
        <v>50</v>
      </c>
      <c r="J841" s="2" t="str">
        <f t="shared" si="13"/>
        <v>55–64</v>
      </c>
      <c r="K841" t="str" cm="1">
        <f t="array" ref="K841">_xlfn.IFS(
  OR(MONTH(B841)=12, MONTH(B841)=1, MONTH(B841)=2), "Winter",
  OR(MONTH(B841)=3, MONTH(B841)=4, MONTH(B841)=5), "Spring",
  OR(MONTH(B841)=6, MONTH(B841)=7, MONTH(B841)=8), "Summer",
  OR(MONTH(B841)=9, MONTH(B841)=10, MONTH(B841)=11), "Fall"
)</f>
        <v>Spring</v>
      </c>
    </row>
    <row r="842" spans="1:11">
      <c r="A842">
        <v>841</v>
      </c>
      <c r="B842" s="1">
        <v>45232</v>
      </c>
      <c r="C842" t="s">
        <v>854</v>
      </c>
      <c r="D842" t="s">
        <v>10</v>
      </c>
      <c r="E842" s="2">
        <v>31</v>
      </c>
      <c r="F842" t="s">
        <v>16</v>
      </c>
      <c r="G842" s="2">
        <v>4</v>
      </c>
      <c r="H842" s="3">
        <v>25</v>
      </c>
      <c r="I842" s="3">
        <v>100</v>
      </c>
      <c r="J842" s="2" t="str">
        <f t="shared" si="13"/>
        <v>25–34</v>
      </c>
      <c r="K842" t="str" cm="1">
        <f t="array" ref="K842">_xlfn.IFS(
  OR(MONTH(B842)=12, MONTH(B842)=1, MONTH(B842)=2), "Winter",
  OR(MONTH(B842)=3, MONTH(B842)=4, MONTH(B842)=5), "Spring",
  OR(MONTH(B842)=6, MONTH(B842)=7, MONTH(B842)=8), "Summer",
  OR(MONTH(B842)=9, MONTH(B842)=10, MONTH(B842)=11), "Fall"
)</f>
        <v>Fall</v>
      </c>
    </row>
    <row r="843" spans="1:11">
      <c r="A843">
        <v>842</v>
      </c>
      <c r="B843" s="1">
        <v>45286</v>
      </c>
      <c r="C843" t="s">
        <v>855</v>
      </c>
      <c r="D843" t="s">
        <v>13</v>
      </c>
      <c r="E843" s="2">
        <v>47</v>
      </c>
      <c r="F843" t="s">
        <v>14</v>
      </c>
      <c r="G843" s="2">
        <v>2</v>
      </c>
      <c r="H843" s="3">
        <v>300</v>
      </c>
      <c r="I843" s="3">
        <v>600</v>
      </c>
      <c r="J843" s="2" t="str">
        <f t="shared" si="13"/>
        <v>45–54</v>
      </c>
      <c r="K843" t="str" cm="1">
        <f t="array" ref="K843">_xlfn.IFS(
  OR(MONTH(B843)=12, MONTH(B843)=1, MONTH(B843)=2), "Winter",
  OR(MONTH(B843)=3, MONTH(B843)=4, MONTH(B843)=5), "Spring",
  OR(MONTH(B843)=6, MONTH(B843)=7, MONTH(B843)=8), "Summer",
  OR(MONTH(B843)=9, MONTH(B843)=10, MONTH(B843)=11), "Fall"
)</f>
        <v>Winter</v>
      </c>
    </row>
    <row r="844" spans="1:11">
      <c r="A844">
        <v>843</v>
      </c>
      <c r="B844" s="1">
        <v>45068</v>
      </c>
      <c r="C844" t="s">
        <v>856</v>
      </c>
      <c r="D844" t="s">
        <v>10</v>
      </c>
      <c r="E844" s="2">
        <v>21</v>
      </c>
      <c r="F844" t="s">
        <v>11</v>
      </c>
      <c r="G844" s="2">
        <v>3</v>
      </c>
      <c r="H844" s="3">
        <v>500</v>
      </c>
      <c r="I844" s="3">
        <v>1500</v>
      </c>
      <c r="J844" s="2" t="str">
        <f t="shared" si="13"/>
        <v>18–24</v>
      </c>
      <c r="K844" t="str" cm="1">
        <f t="array" ref="K844">_xlfn.IFS(
  OR(MONTH(B844)=12, MONTH(B844)=1, MONTH(B844)=2), "Winter",
  OR(MONTH(B844)=3, MONTH(B844)=4, MONTH(B844)=5), "Spring",
  OR(MONTH(B844)=6, MONTH(B844)=7, MONTH(B844)=8), "Summer",
  OR(MONTH(B844)=9, MONTH(B844)=10, MONTH(B844)=11), "Fall"
)</f>
        <v>Spring</v>
      </c>
    </row>
    <row r="845" spans="1:11">
      <c r="A845">
        <v>844</v>
      </c>
      <c r="B845" s="1">
        <v>45211</v>
      </c>
      <c r="C845" t="s">
        <v>857</v>
      </c>
      <c r="D845" t="s">
        <v>10</v>
      </c>
      <c r="E845" s="2">
        <v>35</v>
      </c>
      <c r="F845" t="s">
        <v>14</v>
      </c>
      <c r="G845" s="2">
        <v>3</v>
      </c>
      <c r="H845" s="3">
        <v>50</v>
      </c>
      <c r="I845" s="3">
        <v>150</v>
      </c>
      <c r="J845" s="2" t="str">
        <f t="shared" si="13"/>
        <v>35–44</v>
      </c>
      <c r="K845" t="str" cm="1">
        <f t="array" ref="K845">_xlfn.IFS(
  OR(MONTH(B845)=12, MONTH(B845)=1, MONTH(B845)=2), "Winter",
  OR(MONTH(B845)=3, MONTH(B845)=4, MONTH(B845)=5), "Spring",
  OR(MONTH(B845)=6, MONTH(B845)=7, MONTH(B845)=8), "Summer",
  OR(MONTH(B845)=9, MONTH(B845)=10, MONTH(B845)=11), "Fall"
)</f>
        <v>Fall</v>
      </c>
    </row>
    <row r="846" spans="1:11">
      <c r="A846">
        <v>845</v>
      </c>
      <c r="B846" s="1">
        <v>44932</v>
      </c>
      <c r="C846" t="s">
        <v>858</v>
      </c>
      <c r="D846" t="s">
        <v>10</v>
      </c>
      <c r="E846" s="2">
        <v>54</v>
      </c>
      <c r="F846" t="s">
        <v>14</v>
      </c>
      <c r="G846" s="2">
        <v>1</v>
      </c>
      <c r="H846" s="3">
        <v>500</v>
      </c>
      <c r="I846" s="3">
        <v>500</v>
      </c>
      <c r="J846" s="2" t="str">
        <f t="shared" si="13"/>
        <v>45–54</v>
      </c>
      <c r="K846" t="str" cm="1">
        <f t="array" ref="K846">_xlfn.IFS(
  OR(MONTH(B846)=12, MONTH(B846)=1, MONTH(B846)=2), "Winter",
  OR(MONTH(B846)=3, MONTH(B846)=4, MONTH(B846)=5), "Spring",
  OR(MONTH(B846)=6, MONTH(B846)=7, MONTH(B846)=8), "Summer",
  OR(MONTH(B846)=9, MONTH(B846)=10, MONTH(B846)=11), "Fall"
)</f>
        <v>Winter</v>
      </c>
    </row>
    <row r="847" spans="1:11">
      <c r="A847">
        <v>846</v>
      </c>
      <c r="B847" s="1">
        <v>45191</v>
      </c>
      <c r="C847" t="s">
        <v>859</v>
      </c>
      <c r="D847" t="s">
        <v>10</v>
      </c>
      <c r="E847" s="2">
        <v>42</v>
      </c>
      <c r="F847" t="s">
        <v>11</v>
      </c>
      <c r="G847" s="2">
        <v>1</v>
      </c>
      <c r="H847" s="3">
        <v>50</v>
      </c>
      <c r="I847" s="3">
        <v>50</v>
      </c>
      <c r="J847" s="2" t="str">
        <f t="shared" si="13"/>
        <v>35–44</v>
      </c>
      <c r="K847" t="str" cm="1">
        <f t="array" ref="K847">_xlfn.IFS(
  OR(MONTH(B847)=12, MONTH(B847)=1, MONTH(B847)=2), "Winter",
  OR(MONTH(B847)=3, MONTH(B847)=4, MONTH(B847)=5), "Spring",
  OR(MONTH(B847)=6, MONTH(B847)=7, MONTH(B847)=8), "Summer",
  OR(MONTH(B847)=9, MONTH(B847)=10, MONTH(B847)=11), "Fall"
)</f>
        <v>Fall</v>
      </c>
    </row>
    <row r="848" spans="1:11">
      <c r="A848">
        <v>847</v>
      </c>
      <c r="B848" s="1">
        <v>45024</v>
      </c>
      <c r="C848" t="s">
        <v>860</v>
      </c>
      <c r="D848" t="s">
        <v>13</v>
      </c>
      <c r="E848" s="2">
        <v>18</v>
      </c>
      <c r="F848" t="s">
        <v>16</v>
      </c>
      <c r="G848" s="2">
        <v>4</v>
      </c>
      <c r="H848" s="3">
        <v>300</v>
      </c>
      <c r="I848" s="3">
        <v>1200</v>
      </c>
      <c r="J848" s="2" t="str">
        <f t="shared" si="13"/>
        <v>18–24</v>
      </c>
      <c r="K848" t="str" cm="1">
        <f t="array" ref="K848">_xlfn.IFS(
  OR(MONTH(B848)=12, MONTH(B848)=1, MONTH(B848)=2), "Winter",
  OR(MONTH(B848)=3, MONTH(B848)=4, MONTH(B848)=5), "Spring",
  OR(MONTH(B848)=6, MONTH(B848)=7, MONTH(B848)=8), "Summer",
  OR(MONTH(B848)=9, MONTH(B848)=10, MONTH(B848)=11), "Fall"
)</f>
        <v>Spring</v>
      </c>
    </row>
    <row r="849" spans="1:11">
      <c r="A849">
        <v>848</v>
      </c>
      <c r="B849" s="1">
        <v>44970</v>
      </c>
      <c r="C849" t="s">
        <v>861</v>
      </c>
      <c r="D849" t="s">
        <v>13</v>
      </c>
      <c r="E849" s="2">
        <v>63</v>
      </c>
      <c r="F849" t="s">
        <v>14</v>
      </c>
      <c r="G849" s="2">
        <v>3</v>
      </c>
      <c r="H849" s="3">
        <v>25</v>
      </c>
      <c r="I849" s="3">
        <v>75</v>
      </c>
      <c r="J849" s="2" t="str">
        <f t="shared" si="13"/>
        <v>55–64</v>
      </c>
      <c r="K849" t="str" cm="1">
        <f t="array" ref="K849">_xlfn.IFS(
  OR(MONTH(B849)=12, MONTH(B849)=1, MONTH(B849)=2), "Winter",
  OR(MONTH(B849)=3, MONTH(B849)=4, MONTH(B849)=5), "Spring",
  OR(MONTH(B849)=6, MONTH(B849)=7, MONTH(B849)=8), "Summer",
  OR(MONTH(B849)=9, MONTH(B849)=10, MONTH(B849)=11), "Fall"
)</f>
        <v>Winter</v>
      </c>
    </row>
    <row r="850" spans="1:11">
      <c r="A850">
        <v>849</v>
      </c>
      <c r="B850" s="1">
        <v>45050</v>
      </c>
      <c r="C850" t="s">
        <v>862</v>
      </c>
      <c r="D850" t="s">
        <v>10</v>
      </c>
      <c r="E850" s="2">
        <v>32</v>
      </c>
      <c r="F850" t="s">
        <v>14</v>
      </c>
      <c r="G850" s="2">
        <v>2</v>
      </c>
      <c r="H850" s="3">
        <v>25</v>
      </c>
      <c r="I850" s="3">
        <v>50</v>
      </c>
      <c r="J850" s="2" t="str">
        <f t="shared" si="13"/>
        <v>25–34</v>
      </c>
      <c r="K850" t="str" cm="1">
        <f t="array" ref="K850">_xlfn.IFS(
  OR(MONTH(B850)=12, MONTH(B850)=1, MONTH(B850)=2), "Winter",
  OR(MONTH(B850)=3, MONTH(B850)=4, MONTH(B850)=5), "Spring",
  OR(MONTH(B850)=6, MONTH(B850)=7, MONTH(B850)=8), "Summer",
  OR(MONTH(B850)=9, MONTH(B850)=10, MONTH(B850)=11), "Fall"
)</f>
        <v>Spring</v>
      </c>
    </row>
    <row r="851" spans="1:11">
      <c r="A851">
        <v>850</v>
      </c>
      <c r="B851" s="1">
        <v>45135</v>
      </c>
      <c r="C851" t="s">
        <v>863</v>
      </c>
      <c r="D851" t="s">
        <v>13</v>
      </c>
      <c r="E851" s="2">
        <v>26</v>
      </c>
      <c r="F851" t="s">
        <v>11</v>
      </c>
      <c r="G851" s="2">
        <v>2</v>
      </c>
      <c r="H851" s="3">
        <v>500</v>
      </c>
      <c r="I851" s="3">
        <v>1000</v>
      </c>
      <c r="J851" s="2" t="str">
        <f t="shared" si="13"/>
        <v>25–34</v>
      </c>
      <c r="K851" t="str" cm="1">
        <f t="array" ref="K851">_xlfn.IFS(
  OR(MONTH(B851)=12, MONTH(B851)=1, MONTH(B851)=2), "Winter",
  OR(MONTH(B851)=3, MONTH(B851)=4, MONTH(B851)=5), "Spring",
  OR(MONTH(B851)=6, MONTH(B851)=7, MONTH(B851)=8), "Summer",
  OR(MONTH(B851)=9, MONTH(B851)=10, MONTH(B851)=11), "Fall"
)</f>
        <v>Summer</v>
      </c>
    </row>
    <row r="852" spans="1:11">
      <c r="A852">
        <v>851</v>
      </c>
      <c r="B852" s="1">
        <v>45177</v>
      </c>
      <c r="C852" t="s">
        <v>864</v>
      </c>
      <c r="D852" t="s">
        <v>10</v>
      </c>
      <c r="E852" s="2">
        <v>32</v>
      </c>
      <c r="F852" t="s">
        <v>16</v>
      </c>
      <c r="G852" s="2">
        <v>2</v>
      </c>
      <c r="H852" s="3">
        <v>25</v>
      </c>
      <c r="I852" s="3">
        <v>50</v>
      </c>
      <c r="J852" s="2" t="str">
        <f t="shared" si="13"/>
        <v>25–34</v>
      </c>
      <c r="K852" t="str" cm="1">
        <f t="array" ref="K852">_xlfn.IFS(
  OR(MONTH(B852)=12, MONTH(B852)=1, MONTH(B852)=2), "Winter",
  OR(MONTH(B852)=3, MONTH(B852)=4, MONTH(B852)=5), "Spring",
  OR(MONTH(B852)=6, MONTH(B852)=7, MONTH(B852)=8), "Summer",
  OR(MONTH(B852)=9, MONTH(B852)=10, MONTH(B852)=11), "Fall"
)</f>
        <v>Fall</v>
      </c>
    </row>
    <row r="853" spans="1:11">
      <c r="A853">
        <v>852</v>
      </c>
      <c r="B853" s="1">
        <v>45211</v>
      </c>
      <c r="C853" t="s">
        <v>865</v>
      </c>
      <c r="D853" t="s">
        <v>13</v>
      </c>
      <c r="E853" s="2">
        <v>41</v>
      </c>
      <c r="F853" t="s">
        <v>14</v>
      </c>
      <c r="G853" s="2">
        <v>1</v>
      </c>
      <c r="H853" s="3">
        <v>300</v>
      </c>
      <c r="I853" s="3">
        <v>300</v>
      </c>
      <c r="J853" s="2" t="str">
        <f t="shared" si="13"/>
        <v>35–44</v>
      </c>
      <c r="K853" t="str" cm="1">
        <f t="array" ref="K853">_xlfn.IFS(
  OR(MONTH(B853)=12, MONTH(B853)=1, MONTH(B853)=2), "Winter",
  OR(MONTH(B853)=3, MONTH(B853)=4, MONTH(B853)=5), "Spring",
  OR(MONTH(B853)=6, MONTH(B853)=7, MONTH(B853)=8), "Summer",
  OR(MONTH(B853)=9, MONTH(B853)=10, MONTH(B853)=11), "Fall"
)</f>
        <v>Fall</v>
      </c>
    </row>
    <row r="854" spans="1:11">
      <c r="A854">
        <v>853</v>
      </c>
      <c r="B854" s="1">
        <v>45050</v>
      </c>
      <c r="C854" t="s">
        <v>866</v>
      </c>
      <c r="D854" t="s">
        <v>10</v>
      </c>
      <c r="E854" s="2">
        <v>21</v>
      </c>
      <c r="F854" t="s">
        <v>11</v>
      </c>
      <c r="G854" s="2">
        <v>2</v>
      </c>
      <c r="H854" s="3">
        <v>500</v>
      </c>
      <c r="I854" s="3">
        <v>1000</v>
      </c>
      <c r="J854" s="2" t="str">
        <f t="shared" si="13"/>
        <v>18–24</v>
      </c>
      <c r="K854" t="str" cm="1">
        <f t="array" ref="K854">_xlfn.IFS(
  OR(MONTH(B854)=12, MONTH(B854)=1, MONTH(B854)=2), "Winter",
  OR(MONTH(B854)=3, MONTH(B854)=4, MONTH(B854)=5), "Spring",
  OR(MONTH(B854)=6, MONTH(B854)=7, MONTH(B854)=8), "Summer",
  OR(MONTH(B854)=9, MONTH(B854)=10, MONTH(B854)=11), "Fall"
)</f>
        <v>Spring</v>
      </c>
    </row>
    <row r="855" spans="1:11">
      <c r="A855">
        <v>854</v>
      </c>
      <c r="B855" s="1">
        <v>45280</v>
      </c>
      <c r="C855" t="s">
        <v>867</v>
      </c>
      <c r="D855" t="s">
        <v>10</v>
      </c>
      <c r="E855" s="2">
        <v>29</v>
      </c>
      <c r="F855" t="s">
        <v>14</v>
      </c>
      <c r="G855" s="2">
        <v>1</v>
      </c>
      <c r="H855" s="3">
        <v>50</v>
      </c>
      <c r="I855" s="3">
        <v>50</v>
      </c>
      <c r="J855" s="2" t="str">
        <f t="shared" si="13"/>
        <v>25–34</v>
      </c>
      <c r="K855" t="str" cm="1">
        <f t="array" ref="K855">_xlfn.IFS(
  OR(MONTH(B855)=12, MONTH(B855)=1, MONTH(B855)=2), "Winter",
  OR(MONTH(B855)=3, MONTH(B855)=4, MONTH(B855)=5), "Spring",
  OR(MONTH(B855)=6, MONTH(B855)=7, MONTH(B855)=8), "Summer",
  OR(MONTH(B855)=9, MONTH(B855)=10, MONTH(B855)=11), "Fall"
)</f>
        <v>Winter</v>
      </c>
    </row>
    <row r="856" spans="1:11">
      <c r="A856">
        <v>855</v>
      </c>
      <c r="B856" s="1">
        <v>45170</v>
      </c>
      <c r="C856" t="s">
        <v>868</v>
      </c>
      <c r="D856" t="s">
        <v>10</v>
      </c>
      <c r="E856" s="2">
        <v>54</v>
      </c>
      <c r="F856" t="s">
        <v>11</v>
      </c>
      <c r="G856" s="2">
        <v>1</v>
      </c>
      <c r="H856" s="3">
        <v>25</v>
      </c>
      <c r="I856" s="3">
        <v>25</v>
      </c>
      <c r="J856" s="2" t="str">
        <f t="shared" si="13"/>
        <v>45–54</v>
      </c>
      <c r="K856" t="str" cm="1">
        <f t="array" ref="K856">_xlfn.IFS(
  OR(MONTH(B856)=12, MONTH(B856)=1, MONTH(B856)=2), "Winter",
  OR(MONTH(B856)=3, MONTH(B856)=4, MONTH(B856)=5), "Spring",
  OR(MONTH(B856)=6, MONTH(B856)=7, MONTH(B856)=8), "Summer",
  OR(MONTH(B856)=9, MONTH(B856)=10, MONTH(B856)=11), "Fall"
)</f>
        <v>Fall</v>
      </c>
    </row>
    <row r="857" spans="1:11">
      <c r="A857">
        <v>856</v>
      </c>
      <c r="B857" s="1">
        <v>45257</v>
      </c>
      <c r="C857" t="s">
        <v>869</v>
      </c>
      <c r="D857" t="s">
        <v>10</v>
      </c>
      <c r="E857" s="2">
        <v>54</v>
      </c>
      <c r="F857" t="s">
        <v>16</v>
      </c>
      <c r="G857" s="2">
        <v>4</v>
      </c>
      <c r="H857" s="3">
        <v>30</v>
      </c>
      <c r="I857" s="3">
        <v>120</v>
      </c>
      <c r="J857" s="2" t="str">
        <f t="shared" si="13"/>
        <v>45–54</v>
      </c>
      <c r="K857" t="str" cm="1">
        <f t="array" ref="K857">_xlfn.IFS(
  OR(MONTH(B857)=12, MONTH(B857)=1, MONTH(B857)=2), "Winter",
  OR(MONTH(B857)=3, MONTH(B857)=4, MONTH(B857)=5), "Spring",
  OR(MONTH(B857)=6, MONTH(B857)=7, MONTH(B857)=8), "Summer",
  OR(MONTH(B857)=9, MONTH(B857)=10, MONTH(B857)=11), "Fall"
)</f>
        <v>Fall</v>
      </c>
    </row>
    <row r="858" spans="1:11">
      <c r="A858">
        <v>857</v>
      </c>
      <c r="B858" s="1">
        <v>45291</v>
      </c>
      <c r="C858" t="s">
        <v>870</v>
      </c>
      <c r="D858" t="s">
        <v>10</v>
      </c>
      <c r="E858" s="2">
        <v>60</v>
      </c>
      <c r="F858" t="s">
        <v>16</v>
      </c>
      <c r="G858" s="2">
        <v>2</v>
      </c>
      <c r="H858" s="3">
        <v>25</v>
      </c>
      <c r="I858" s="3">
        <v>50</v>
      </c>
      <c r="J858" s="2" t="str">
        <f t="shared" si="13"/>
        <v>55–64</v>
      </c>
      <c r="K858" t="str" cm="1">
        <f t="array" ref="K858">_xlfn.IFS(
  OR(MONTH(B858)=12, MONTH(B858)=1, MONTH(B858)=2), "Winter",
  OR(MONTH(B858)=3, MONTH(B858)=4, MONTH(B858)=5), "Spring",
  OR(MONTH(B858)=6, MONTH(B858)=7, MONTH(B858)=8), "Summer",
  OR(MONTH(B858)=9, MONTH(B858)=10, MONTH(B858)=11), "Fall"
)</f>
        <v>Winter</v>
      </c>
    </row>
    <row r="859" spans="1:11">
      <c r="A859">
        <v>858</v>
      </c>
      <c r="B859" s="1">
        <v>45178</v>
      </c>
      <c r="C859" t="s">
        <v>871</v>
      </c>
      <c r="D859" t="s">
        <v>10</v>
      </c>
      <c r="E859" s="2">
        <v>23</v>
      </c>
      <c r="F859" t="s">
        <v>16</v>
      </c>
      <c r="G859" s="2">
        <v>2</v>
      </c>
      <c r="H859" s="3">
        <v>50</v>
      </c>
      <c r="I859" s="3">
        <v>100</v>
      </c>
      <c r="J859" s="2" t="str">
        <f t="shared" si="13"/>
        <v>18–24</v>
      </c>
      <c r="K859" t="str" cm="1">
        <f t="array" ref="K859">_xlfn.IFS(
  OR(MONTH(B859)=12, MONTH(B859)=1, MONTH(B859)=2), "Winter",
  OR(MONTH(B859)=3, MONTH(B859)=4, MONTH(B859)=5), "Spring",
  OR(MONTH(B859)=6, MONTH(B859)=7, MONTH(B859)=8), "Summer",
  OR(MONTH(B859)=9, MONTH(B859)=10, MONTH(B859)=11), "Fall"
)</f>
        <v>Fall</v>
      </c>
    </row>
    <row r="860" spans="1:11">
      <c r="A860">
        <v>859</v>
      </c>
      <c r="B860" s="1">
        <v>45156</v>
      </c>
      <c r="C860" t="s">
        <v>872</v>
      </c>
      <c r="D860" t="s">
        <v>13</v>
      </c>
      <c r="E860" s="2">
        <v>56</v>
      </c>
      <c r="F860" t="s">
        <v>16</v>
      </c>
      <c r="G860" s="2">
        <v>3</v>
      </c>
      <c r="H860" s="3">
        <v>500</v>
      </c>
      <c r="I860" s="3">
        <v>1500</v>
      </c>
      <c r="J860" s="2" t="str">
        <f t="shared" si="13"/>
        <v>55–64</v>
      </c>
      <c r="K860" t="str" cm="1">
        <f t="array" ref="K860">_xlfn.IFS(
  OR(MONTH(B860)=12, MONTH(B860)=1, MONTH(B860)=2), "Winter",
  OR(MONTH(B860)=3, MONTH(B860)=4, MONTH(B860)=5), "Spring",
  OR(MONTH(B860)=6, MONTH(B860)=7, MONTH(B860)=8), "Summer",
  OR(MONTH(B860)=9, MONTH(B860)=10, MONTH(B860)=11), "Fall"
)</f>
        <v>Summer</v>
      </c>
    </row>
    <row r="861" spans="1:11">
      <c r="A861">
        <v>860</v>
      </c>
      <c r="B861" s="1">
        <v>44935</v>
      </c>
      <c r="C861" t="s">
        <v>873</v>
      </c>
      <c r="D861" t="s">
        <v>10</v>
      </c>
      <c r="E861" s="2">
        <v>63</v>
      </c>
      <c r="F861" t="s">
        <v>14</v>
      </c>
      <c r="G861" s="2">
        <v>4</v>
      </c>
      <c r="H861" s="3">
        <v>50</v>
      </c>
      <c r="I861" s="3">
        <v>200</v>
      </c>
      <c r="J861" s="2" t="str">
        <f t="shared" si="13"/>
        <v>55–64</v>
      </c>
      <c r="K861" t="str" cm="1">
        <f t="array" ref="K861">_xlfn.IFS(
  OR(MONTH(B861)=12, MONTH(B861)=1, MONTH(B861)=2), "Winter",
  OR(MONTH(B861)=3, MONTH(B861)=4, MONTH(B861)=5), "Spring",
  OR(MONTH(B861)=6, MONTH(B861)=7, MONTH(B861)=8), "Summer",
  OR(MONTH(B861)=9, MONTH(B861)=10, MONTH(B861)=11), "Fall"
)</f>
        <v>Winter</v>
      </c>
    </row>
    <row r="862" spans="1:11">
      <c r="A862">
        <v>861</v>
      </c>
      <c r="B862" s="1">
        <v>44974</v>
      </c>
      <c r="C862" t="s">
        <v>874</v>
      </c>
      <c r="D862" t="s">
        <v>13</v>
      </c>
      <c r="E862" s="2">
        <v>41</v>
      </c>
      <c r="F862" t="s">
        <v>14</v>
      </c>
      <c r="G862" s="2">
        <v>3</v>
      </c>
      <c r="H862" s="3">
        <v>30</v>
      </c>
      <c r="I862" s="3">
        <v>90</v>
      </c>
      <c r="J862" s="2" t="str">
        <f t="shared" si="13"/>
        <v>35–44</v>
      </c>
      <c r="K862" t="str" cm="1">
        <f t="array" ref="K862">_xlfn.IFS(
  OR(MONTH(B862)=12, MONTH(B862)=1, MONTH(B862)=2), "Winter",
  OR(MONTH(B862)=3, MONTH(B862)=4, MONTH(B862)=5), "Spring",
  OR(MONTH(B862)=6, MONTH(B862)=7, MONTH(B862)=8), "Summer",
  OR(MONTH(B862)=9, MONTH(B862)=10, MONTH(B862)=11), "Fall"
)</f>
        <v>Winter</v>
      </c>
    </row>
    <row r="863" spans="1:11">
      <c r="A863">
        <v>862</v>
      </c>
      <c r="B863" s="1">
        <v>45077</v>
      </c>
      <c r="C863" t="s">
        <v>875</v>
      </c>
      <c r="D863" t="s">
        <v>10</v>
      </c>
      <c r="E863" s="2">
        <v>28</v>
      </c>
      <c r="F863" t="s">
        <v>16</v>
      </c>
      <c r="G863" s="2">
        <v>4</v>
      </c>
      <c r="H863" s="3">
        <v>300</v>
      </c>
      <c r="I863" s="3">
        <v>1200</v>
      </c>
      <c r="J863" s="2" t="str">
        <f t="shared" si="13"/>
        <v>25–34</v>
      </c>
      <c r="K863" t="str" cm="1">
        <f t="array" ref="K863">_xlfn.IFS(
  OR(MONTH(B863)=12, MONTH(B863)=1, MONTH(B863)=2), "Winter",
  OR(MONTH(B863)=3, MONTH(B863)=4, MONTH(B863)=5), "Spring",
  OR(MONTH(B863)=6, MONTH(B863)=7, MONTH(B863)=8), "Summer",
  OR(MONTH(B863)=9, MONTH(B863)=10, MONTH(B863)=11), "Fall"
)</f>
        <v>Spring</v>
      </c>
    </row>
    <row r="864" spans="1:11">
      <c r="A864">
        <v>863</v>
      </c>
      <c r="B864" s="1">
        <v>45040</v>
      </c>
      <c r="C864" t="s">
        <v>876</v>
      </c>
      <c r="D864" t="s">
        <v>13</v>
      </c>
      <c r="E864" s="2">
        <v>30</v>
      </c>
      <c r="F864" t="s">
        <v>16</v>
      </c>
      <c r="G864" s="2">
        <v>2</v>
      </c>
      <c r="H864" s="3">
        <v>25</v>
      </c>
      <c r="I864" s="3">
        <v>50</v>
      </c>
      <c r="J864" s="2" t="str">
        <f t="shared" si="13"/>
        <v>25–34</v>
      </c>
      <c r="K864" t="str" cm="1">
        <f t="array" ref="K864">_xlfn.IFS(
  OR(MONTH(B864)=12, MONTH(B864)=1, MONTH(B864)=2), "Winter",
  OR(MONTH(B864)=3, MONTH(B864)=4, MONTH(B864)=5), "Spring",
  OR(MONTH(B864)=6, MONTH(B864)=7, MONTH(B864)=8), "Summer",
  OR(MONTH(B864)=9, MONTH(B864)=10, MONTH(B864)=11), "Fall"
)</f>
        <v>Spring</v>
      </c>
    </row>
    <row r="865" spans="1:11">
      <c r="A865">
        <v>864</v>
      </c>
      <c r="B865" s="1">
        <v>45134</v>
      </c>
      <c r="C865" t="s">
        <v>877</v>
      </c>
      <c r="D865" t="s">
        <v>13</v>
      </c>
      <c r="E865" s="2">
        <v>51</v>
      </c>
      <c r="F865" t="s">
        <v>16</v>
      </c>
      <c r="G865" s="2">
        <v>1</v>
      </c>
      <c r="H865" s="3">
        <v>500</v>
      </c>
      <c r="I865" s="3">
        <v>500</v>
      </c>
      <c r="J865" s="2" t="str">
        <f t="shared" si="13"/>
        <v>45–54</v>
      </c>
      <c r="K865" t="str" cm="1">
        <f t="array" ref="K865">_xlfn.IFS(
  OR(MONTH(B865)=12, MONTH(B865)=1, MONTH(B865)=2), "Winter",
  OR(MONTH(B865)=3, MONTH(B865)=4, MONTH(B865)=5), "Spring",
  OR(MONTH(B865)=6, MONTH(B865)=7, MONTH(B865)=8), "Summer",
  OR(MONTH(B865)=9, MONTH(B865)=10, MONTH(B865)=11), "Fall"
)</f>
        <v>Summer</v>
      </c>
    </row>
    <row r="866" spans="1:11">
      <c r="A866">
        <v>865</v>
      </c>
      <c r="B866" s="1">
        <v>45281</v>
      </c>
      <c r="C866" t="s">
        <v>878</v>
      </c>
      <c r="D866" t="s">
        <v>13</v>
      </c>
      <c r="E866" s="2">
        <v>42</v>
      </c>
      <c r="F866" t="s">
        <v>14</v>
      </c>
      <c r="G866" s="2">
        <v>1</v>
      </c>
      <c r="H866" s="3">
        <v>300</v>
      </c>
      <c r="I866" s="3">
        <v>300</v>
      </c>
      <c r="J866" s="2" t="str">
        <f t="shared" si="13"/>
        <v>35–44</v>
      </c>
      <c r="K866" t="str" cm="1">
        <f t="array" ref="K866">_xlfn.IFS(
  OR(MONTH(B866)=12, MONTH(B866)=1, MONTH(B866)=2), "Winter",
  OR(MONTH(B866)=3, MONTH(B866)=4, MONTH(B866)=5), "Spring",
  OR(MONTH(B866)=6, MONTH(B866)=7, MONTH(B866)=8), "Summer",
  OR(MONTH(B866)=9, MONTH(B866)=10, MONTH(B866)=11), "Fall"
)</f>
        <v>Winter</v>
      </c>
    </row>
    <row r="867" spans="1:11">
      <c r="A867">
        <v>866</v>
      </c>
      <c r="B867" s="1">
        <v>45051</v>
      </c>
      <c r="C867" t="s">
        <v>879</v>
      </c>
      <c r="D867" t="s">
        <v>10</v>
      </c>
      <c r="E867" s="2">
        <v>24</v>
      </c>
      <c r="F867" t="s">
        <v>16</v>
      </c>
      <c r="G867" s="2">
        <v>1</v>
      </c>
      <c r="H867" s="3">
        <v>50</v>
      </c>
      <c r="I867" s="3">
        <v>50</v>
      </c>
      <c r="J867" s="2" t="str">
        <f t="shared" si="13"/>
        <v>18–24</v>
      </c>
      <c r="K867" t="str" cm="1">
        <f t="array" ref="K867">_xlfn.IFS(
  OR(MONTH(B867)=12, MONTH(B867)=1, MONTH(B867)=2), "Winter",
  OR(MONTH(B867)=3, MONTH(B867)=4, MONTH(B867)=5), "Spring",
  OR(MONTH(B867)=6, MONTH(B867)=7, MONTH(B867)=8), "Summer",
  OR(MONTH(B867)=9, MONTH(B867)=10, MONTH(B867)=11), "Fall"
)</f>
        <v>Spring</v>
      </c>
    </row>
    <row r="868" spans="1:11">
      <c r="A868">
        <v>867</v>
      </c>
      <c r="B868" s="1">
        <v>45083</v>
      </c>
      <c r="C868" t="s">
        <v>880</v>
      </c>
      <c r="D868" t="s">
        <v>10</v>
      </c>
      <c r="E868" s="2">
        <v>21</v>
      </c>
      <c r="F868" t="s">
        <v>16</v>
      </c>
      <c r="G868" s="2">
        <v>1</v>
      </c>
      <c r="H868" s="3">
        <v>500</v>
      </c>
      <c r="I868" s="3">
        <v>500</v>
      </c>
      <c r="J868" s="2" t="str">
        <f t="shared" si="13"/>
        <v>18–24</v>
      </c>
      <c r="K868" t="str" cm="1">
        <f t="array" ref="K868">_xlfn.IFS(
  OR(MONTH(B868)=12, MONTH(B868)=1, MONTH(B868)=2), "Winter",
  OR(MONTH(B868)=3, MONTH(B868)=4, MONTH(B868)=5), "Spring",
  OR(MONTH(B868)=6, MONTH(B868)=7, MONTH(B868)=8), "Summer",
  OR(MONTH(B868)=9, MONTH(B868)=10, MONTH(B868)=11), "Fall"
)</f>
        <v>Summer</v>
      </c>
    </row>
    <row r="869" spans="1:11">
      <c r="A869">
        <v>868</v>
      </c>
      <c r="B869" s="1">
        <v>45266</v>
      </c>
      <c r="C869" t="s">
        <v>881</v>
      </c>
      <c r="D869" t="s">
        <v>13</v>
      </c>
      <c r="E869" s="2">
        <v>25</v>
      </c>
      <c r="F869" t="s">
        <v>16</v>
      </c>
      <c r="G869" s="2">
        <v>1</v>
      </c>
      <c r="H869" s="3">
        <v>300</v>
      </c>
      <c r="I869" s="3">
        <v>300</v>
      </c>
      <c r="J869" s="2" t="str">
        <f t="shared" si="13"/>
        <v>25–34</v>
      </c>
      <c r="K869" t="str" cm="1">
        <f t="array" ref="K869">_xlfn.IFS(
  OR(MONTH(B869)=12, MONTH(B869)=1, MONTH(B869)=2), "Winter",
  OR(MONTH(B869)=3, MONTH(B869)=4, MONTH(B869)=5), "Spring",
  OR(MONTH(B869)=6, MONTH(B869)=7, MONTH(B869)=8), "Summer",
  OR(MONTH(B869)=9, MONTH(B869)=10, MONTH(B869)=11), "Fall"
)</f>
        <v>Winter</v>
      </c>
    </row>
    <row r="870" spans="1:11">
      <c r="A870">
        <v>869</v>
      </c>
      <c r="B870" s="1">
        <v>45224</v>
      </c>
      <c r="C870" t="s">
        <v>882</v>
      </c>
      <c r="D870" t="s">
        <v>10</v>
      </c>
      <c r="E870" s="2">
        <v>37</v>
      </c>
      <c r="F870" t="s">
        <v>11</v>
      </c>
      <c r="G870" s="2">
        <v>3</v>
      </c>
      <c r="H870" s="3">
        <v>500</v>
      </c>
      <c r="I870" s="3">
        <v>1500</v>
      </c>
      <c r="J870" s="2" t="str">
        <f t="shared" si="13"/>
        <v>35–44</v>
      </c>
      <c r="K870" t="str" cm="1">
        <f t="array" ref="K870">_xlfn.IFS(
  OR(MONTH(B870)=12, MONTH(B870)=1, MONTH(B870)=2), "Winter",
  OR(MONTH(B870)=3, MONTH(B870)=4, MONTH(B870)=5), "Spring",
  OR(MONTH(B870)=6, MONTH(B870)=7, MONTH(B870)=8), "Summer",
  OR(MONTH(B870)=9, MONTH(B870)=10, MONTH(B870)=11), "Fall"
)</f>
        <v>Fall</v>
      </c>
    </row>
    <row r="871" spans="1:11">
      <c r="A871">
        <v>870</v>
      </c>
      <c r="B871" s="1">
        <v>45115</v>
      </c>
      <c r="C871" t="s">
        <v>883</v>
      </c>
      <c r="D871" t="s">
        <v>13</v>
      </c>
      <c r="E871" s="2">
        <v>46</v>
      </c>
      <c r="F871" t="s">
        <v>16</v>
      </c>
      <c r="G871" s="2">
        <v>4</v>
      </c>
      <c r="H871" s="3">
        <v>30</v>
      </c>
      <c r="I871" s="3">
        <v>120</v>
      </c>
      <c r="J871" s="2" t="str">
        <f t="shared" si="13"/>
        <v>45–54</v>
      </c>
      <c r="K871" t="str" cm="1">
        <f t="array" ref="K871">_xlfn.IFS(
  OR(MONTH(B871)=12, MONTH(B871)=1, MONTH(B871)=2), "Winter",
  OR(MONTH(B871)=3, MONTH(B871)=4, MONTH(B871)=5), "Spring",
  OR(MONTH(B871)=6, MONTH(B871)=7, MONTH(B871)=8), "Summer",
  OR(MONTH(B871)=9, MONTH(B871)=10, MONTH(B871)=11), "Fall"
)</f>
        <v>Summer</v>
      </c>
    </row>
    <row r="872" spans="1:11">
      <c r="A872">
        <v>871</v>
      </c>
      <c r="B872" s="1">
        <v>45169</v>
      </c>
      <c r="C872" t="s">
        <v>884</v>
      </c>
      <c r="D872" t="s">
        <v>10</v>
      </c>
      <c r="E872" s="2">
        <v>62</v>
      </c>
      <c r="F872" t="s">
        <v>11</v>
      </c>
      <c r="G872" s="2">
        <v>2</v>
      </c>
      <c r="H872" s="3">
        <v>30</v>
      </c>
      <c r="I872" s="3">
        <v>60</v>
      </c>
      <c r="J872" s="2" t="str">
        <f t="shared" si="13"/>
        <v>55–64</v>
      </c>
      <c r="K872" t="str" cm="1">
        <f t="array" ref="K872">_xlfn.IFS(
  OR(MONTH(B872)=12, MONTH(B872)=1, MONTH(B872)=2), "Winter",
  OR(MONTH(B872)=3, MONTH(B872)=4, MONTH(B872)=5), "Spring",
  OR(MONTH(B872)=6, MONTH(B872)=7, MONTH(B872)=8), "Summer",
  OR(MONTH(B872)=9, MONTH(B872)=10, MONTH(B872)=11), "Fall"
)</f>
        <v>Summer</v>
      </c>
    </row>
    <row r="873" spans="1:11">
      <c r="A873">
        <v>872</v>
      </c>
      <c r="B873" s="1">
        <v>45210</v>
      </c>
      <c r="C873" t="s">
        <v>885</v>
      </c>
      <c r="D873" t="s">
        <v>13</v>
      </c>
      <c r="E873" s="2">
        <v>63</v>
      </c>
      <c r="F873" t="s">
        <v>11</v>
      </c>
      <c r="G873" s="2">
        <v>3</v>
      </c>
      <c r="H873" s="3">
        <v>25</v>
      </c>
      <c r="I873" s="3">
        <v>75</v>
      </c>
      <c r="J873" s="2" t="str">
        <f t="shared" si="13"/>
        <v>55–64</v>
      </c>
      <c r="K873" t="str" cm="1">
        <f t="array" ref="K873">_xlfn.IFS(
  OR(MONTH(B873)=12, MONTH(B873)=1, MONTH(B873)=2), "Winter",
  OR(MONTH(B873)=3, MONTH(B873)=4, MONTH(B873)=5), "Spring",
  OR(MONTH(B873)=6, MONTH(B873)=7, MONTH(B873)=8), "Summer",
  OR(MONTH(B873)=9, MONTH(B873)=10, MONTH(B873)=11), "Fall"
)</f>
        <v>Fall</v>
      </c>
    </row>
    <row r="874" spans="1:11">
      <c r="A874">
        <v>873</v>
      </c>
      <c r="B874" s="1">
        <v>45198</v>
      </c>
      <c r="C874" t="s">
        <v>886</v>
      </c>
      <c r="D874" t="s">
        <v>13</v>
      </c>
      <c r="E874" s="2">
        <v>27</v>
      </c>
      <c r="F874" t="s">
        <v>16</v>
      </c>
      <c r="G874" s="2">
        <v>4</v>
      </c>
      <c r="H874" s="3">
        <v>25</v>
      </c>
      <c r="I874" s="3">
        <v>100</v>
      </c>
      <c r="J874" s="2" t="str">
        <f t="shared" si="13"/>
        <v>25–34</v>
      </c>
      <c r="K874" t="str" cm="1">
        <f t="array" ref="K874">_xlfn.IFS(
  OR(MONTH(B874)=12, MONTH(B874)=1, MONTH(B874)=2), "Winter",
  OR(MONTH(B874)=3, MONTH(B874)=4, MONTH(B874)=5), "Spring",
  OR(MONTH(B874)=6, MONTH(B874)=7, MONTH(B874)=8), "Summer",
  OR(MONTH(B874)=9, MONTH(B874)=10, MONTH(B874)=11), "Fall"
)</f>
        <v>Fall</v>
      </c>
    </row>
    <row r="875" spans="1:11">
      <c r="A875">
        <v>874</v>
      </c>
      <c r="B875" s="1">
        <v>45103</v>
      </c>
      <c r="C875" t="s">
        <v>887</v>
      </c>
      <c r="D875" t="s">
        <v>10</v>
      </c>
      <c r="E875" s="2">
        <v>60</v>
      </c>
      <c r="F875" t="s">
        <v>11</v>
      </c>
      <c r="G875" s="2">
        <v>1</v>
      </c>
      <c r="H875" s="3">
        <v>30</v>
      </c>
      <c r="I875" s="3">
        <v>30</v>
      </c>
      <c r="J875" s="2" t="str">
        <f t="shared" si="13"/>
        <v>55–64</v>
      </c>
      <c r="K875" t="str" cm="1">
        <f t="array" ref="K875">_xlfn.IFS(
  OR(MONTH(B875)=12, MONTH(B875)=1, MONTH(B875)=2), "Winter",
  OR(MONTH(B875)=3, MONTH(B875)=4, MONTH(B875)=5), "Spring",
  OR(MONTH(B875)=6, MONTH(B875)=7, MONTH(B875)=8), "Summer",
  OR(MONTH(B875)=9, MONTH(B875)=10, MONTH(B875)=11), "Fall"
)</f>
        <v>Summer</v>
      </c>
    </row>
    <row r="876" spans="1:11">
      <c r="A876">
        <v>875</v>
      </c>
      <c r="B876" s="1">
        <v>45144</v>
      </c>
      <c r="C876" t="s">
        <v>888</v>
      </c>
      <c r="D876" t="s">
        <v>13</v>
      </c>
      <c r="E876" s="2">
        <v>51</v>
      </c>
      <c r="F876" t="s">
        <v>16</v>
      </c>
      <c r="G876" s="2">
        <v>4</v>
      </c>
      <c r="H876" s="3">
        <v>500</v>
      </c>
      <c r="I876" s="3">
        <v>2000</v>
      </c>
      <c r="J876" s="2" t="str">
        <f t="shared" si="13"/>
        <v>45–54</v>
      </c>
      <c r="K876" t="str" cm="1">
        <f t="array" ref="K876">_xlfn.IFS(
  OR(MONTH(B876)=12, MONTH(B876)=1, MONTH(B876)=2), "Winter",
  OR(MONTH(B876)=3, MONTH(B876)=4, MONTH(B876)=5), "Spring",
  OR(MONTH(B876)=6, MONTH(B876)=7, MONTH(B876)=8), "Summer",
  OR(MONTH(B876)=9, MONTH(B876)=10, MONTH(B876)=11), "Fall"
)</f>
        <v>Summer</v>
      </c>
    </row>
    <row r="877" spans="1:11">
      <c r="A877">
        <v>876</v>
      </c>
      <c r="B877" s="1">
        <v>45208</v>
      </c>
      <c r="C877" t="s">
        <v>889</v>
      </c>
      <c r="D877" t="s">
        <v>10</v>
      </c>
      <c r="E877" s="2">
        <v>43</v>
      </c>
      <c r="F877" t="s">
        <v>14</v>
      </c>
      <c r="G877" s="2">
        <v>4</v>
      </c>
      <c r="H877" s="3">
        <v>30</v>
      </c>
      <c r="I877" s="3">
        <v>120</v>
      </c>
      <c r="J877" s="2" t="str">
        <f t="shared" si="13"/>
        <v>35–44</v>
      </c>
      <c r="K877" t="str" cm="1">
        <f t="array" ref="K877">_xlfn.IFS(
  OR(MONTH(B877)=12, MONTH(B877)=1, MONTH(B877)=2), "Winter",
  OR(MONTH(B877)=3, MONTH(B877)=4, MONTH(B877)=5), "Spring",
  OR(MONTH(B877)=6, MONTH(B877)=7, MONTH(B877)=8), "Summer",
  OR(MONTH(B877)=9, MONTH(B877)=10, MONTH(B877)=11), "Fall"
)</f>
        <v>Fall</v>
      </c>
    </row>
    <row r="878" spans="1:11">
      <c r="A878">
        <v>877</v>
      </c>
      <c r="B878" s="1">
        <v>45096</v>
      </c>
      <c r="C878" t="s">
        <v>890</v>
      </c>
      <c r="D878" t="s">
        <v>13</v>
      </c>
      <c r="E878" s="2">
        <v>58</v>
      </c>
      <c r="F878" t="s">
        <v>14</v>
      </c>
      <c r="G878" s="2">
        <v>1</v>
      </c>
      <c r="H878" s="3">
        <v>25</v>
      </c>
      <c r="I878" s="3">
        <v>25</v>
      </c>
      <c r="J878" s="2" t="str">
        <f t="shared" si="13"/>
        <v>55–64</v>
      </c>
      <c r="K878" t="str" cm="1">
        <f t="array" ref="K878">_xlfn.IFS(
  OR(MONTH(B878)=12, MONTH(B878)=1, MONTH(B878)=2), "Winter",
  OR(MONTH(B878)=3, MONTH(B878)=4, MONTH(B878)=5), "Spring",
  OR(MONTH(B878)=6, MONTH(B878)=7, MONTH(B878)=8), "Summer",
  OR(MONTH(B878)=9, MONTH(B878)=10, MONTH(B878)=11), "Fall"
)</f>
        <v>Summer</v>
      </c>
    </row>
    <row r="879" spans="1:11">
      <c r="A879">
        <v>878</v>
      </c>
      <c r="B879" s="1">
        <v>45107</v>
      </c>
      <c r="C879" t="s">
        <v>891</v>
      </c>
      <c r="D879" t="s">
        <v>13</v>
      </c>
      <c r="E879" s="2">
        <v>20</v>
      </c>
      <c r="F879" t="s">
        <v>14</v>
      </c>
      <c r="G879" s="2">
        <v>1</v>
      </c>
      <c r="H879" s="3">
        <v>30</v>
      </c>
      <c r="I879" s="3">
        <v>30</v>
      </c>
      <c r="J879" s="2" t="str">
        <f t="shared" si="13"/>
        <v>18–24</v>
      </c>
      <c r="K879" t="str" cm="1">
        <f t="array" ref="K879">_xlfn.IFS(
  OR(MONTH(B879)=12, MONTH(B879)=1, MONTH(B879)=2), "Winter",
  OR(MONTH(B879)=3, MONTH(B879)=4, MONTH(B879)=5), "Spring",
  OR(MONTH(B879)=6, MONTH(B879)=7, MONTH(B879)=8), "Summer",
  OR(MONTH(B879)=9, MONTH(B879)=10, MONTH(B879)=11), "Fall"
)</f>
        <v>Summer</v>
      </c>
    </row>
    <row r="880" spans="1:11">
      <c r="A880">
        <v>879</v>
      </c>
      <c r="B880" s="1">
        <v>45286</v>
      </c>
      <c r="C880" t="s">
        <v>892</v>
      </c>
      <c r="D880" t="s">
        <v>10</v>
      </c>
      <c r="E880" s="2">
        <v>23</v>
      </c>
      <c r="F880" t="s">
        <v>14</v>
      </c>
      <c r="G880" s="2">
        <v>1</v>
      </c>
      <c r="H880" s="3">
        <v>30</v>
      </c>
      <c r="I880" s="3">
        <v>30</v>
      </c>
      <c r="J880" s="2" t="str">
        <f t="shared" si="13"/>
        <v>18–24</v>
      </c>
      <c r="K880" t="str" cm="1">
        <f t="array" ref="K880">_xlfn.IFS(
  OR(MONTH(B880)=12, MONTH(B880)=1, MONTH(B880)=2), "Winter",
  OR(MONTH(B880)=3, MONTH(B880)=4, MONTH(B880)=5), "Spring",
  OR(MONTH(B880)=6, MONTH(B880)=7, MONTH(B880)=8), "Summer",
  OR(MONTH(B880)=9, MONTH(B880)=10, MONTH(B880)=11), "Fall"
)</f>
        <v>Winter</v>
      </c>
    </row>
    <row r="881" spans="1:11">
      <c r="A881">
        <v>880</v>
      </c>
      <c r="B881" s="1">
        <v>45159</v>
      </c>
      <c r="C881" t="s">
        <v>893</v>
      </c>
      <c r="D881" t="s">
        <v>10</v>
      </c>
      <c r="E881" s="2">
        <v>22</v>
      </c>
      <c r="F881" t="s">
        <v>11</v>
      </c>
      <c r="G881" s="2">
        <v>2</v>
      </c>
      <c r="H881" s="3">
        <v>500</v>
      </c>
      <c r="I881" s="3">
        <v>1000</v>
      </c>
      <c r="J881" s="2" t="str">
        <f t="shared" si="13"/>
        <v>18–24</v>
      </c>
      <c r="K881" t="str" cm="1">
        <f t="array" ref="K881">_xlfn.IFS(
  OR(MONTH(B881)=12, MONTH(B881)=1, MONTH(B881)=2), "Winter",
  OR(MONTH(B881)=3, MONTH(B881)=4, MONTH(B881)=5), "Spring",
  OR(MONTH(B881)=6, MONTH(B881)=7, MONTH(B881)=8), "Summer",
  OR(MONTH(B881)=9, MONTH(B881)=10, MONTH(B881)=11), "Fall"
)</f>
        <v>Summer</v>
      </c>
    </row>
    <row r="882" spans="1:11">
      <c r="A882">
        <v>881</v>
      </c>
      <c r="B882" s="1">
        <v>45065</v>
      </c>
      <c r="C882" t="s">
        <v>894</v>
      </c>
      <c r="D882" t="s">
        <v>10</v>
      </c>
      <c r="E882" s="2">
        <v>22</v>
      </c>
      <c r="F882" t="s">
        <v>16</v>
      </c>
      <c r="G882" s="2">
        <v>1</v>
      </c>
      <c r="H882" s="3">
        <v>300</v>
      </c>
      <c r="I882" s="3">
        <v>300</v>
      </c>
      <c r="J882" s="2" t="str">
        <f t="shared" si="13"/>
        <v>18–24</v>
      </c>
      <c r="K882" t="str" cm="1">
        <f t="array" ref="K882">_xlfn.IFS(
  OR(MONTH(B882)=12, MONTH(B882)=1, MONTH(B882)=2), "Winter",
  OR(MONTH(B882)=3, MONTH(B882)=4, MONTH(B882)=5), "Spring",
  OR(MONTH(B882)=6, MONTH(B882)=7, MONTH(B882)=8), "Summer",
  OR(MONTH(B882)=9, MONTH(B882)=10, MONTH(B882)=11), "Fall"
)</f>
        <v>Spring</v>
      </c>
    </row>
    <row r="883" spans="1:11">
      <c r="A883">
        <v>882</v>
      </c>
      <c r="B883" s="1">
        <v>45083</v>
      </c>
      <c r="C883" t="s">
        <v>895</v>
      </c>
      <c r="D883" t="s">
        <v>13</v>
      </c>
      <c r="E883" s="2">
        <v>64</v>
      </c>
      <c r="F883" t="s">
        <v>16</v>
      </c>
      <c r="G883" s="2">
        <v>2</v>
      </c>
      <c r="H883" s="3">
        <v>25</v>
      </c>
      <c r="I883" s="3">
        <v>50</v>
      </c>
      <c r="J883" s="2" t="str">
        <f t="shared" si="13"/>
        <v>55–64</v>
      </c>
      <c r="K883" t="str" cm="1">
        <f t="array" ref="K883">_xlfn.IFS(
  OR(MONTH(B883)=12, MONTH(B883)=1, MONTH(B883)=2), "Winter",
  OR(MONTH(B883)=3, MONTH(B883)=4, MONTH(B883)=5), "Spring",
  OR(MONTH(B883)=6, MONTH(B883)=7, MONTH(B883)=8), "Summer",
  OR(MONTH(B883)=9, MONTH(B883)=10, MONTH(B883)=11), "Fall"
)</f>
        <v>Summer</v>
      </c>
    </row>
    <row r="884" spans="1:11">
      <c r="A884">
        <v>883</v>
      </c>
      <c r="B884" s="1">
        <v>45055</v>
      </c>
      <c r="C884" t="s">
        <v>896</v>
      </c>
      <c r="D884" t="s">
        <v>10</v>
      </c>
      <c r="E884" s="2">
        <v>40</v>
      </c>
      <c r="F884" t="s">
        <v>16</v>
      </c>
      <c r="G884" s="2">
        <v>1</v>
      </c>
      <c r="H884" s="3">
        <v>500</v>
      </c>
      <c r="I884" s="3">
        <v>500</v>
      </c>
      <c r="J884" s="2" t="str">
        <f t="shared" si="13"/>
        <v>35–44</v>
      </c>
      <c r="K884" t="str" cm="1">
        <f t="array" ref="K884">_xlfn.IFS(
  OR(MONTH(B884)=12, MONTH(B884)=1, MONTH(B884)=2), "Winter",
  OR(MONTH(B884)=3, MONTH(B884)=4, MONTH(B884)=5), "Spring",
  OR(MONTH(B884)=6, MONTH(B884)=7, MONTH(B884)=8), "Summer",
  OR(MONTH(B884)=9, MONTH(B884)=10, MONTH(B884)=11), "Fall"
)</f>
        <v>Spring</v>
      </c>
    </row>
    <row r="885" spans="1:11">
      <c r="A885">
        <v>884</v>
      </c>
      <c r="B885" s="1">
        <v>45045</v>
      </c>
      <c r="C885" t="s">
        <v>897</v>
      </c>
      <c r="D885" t="s">
        <v>13</v>
      </c>
      <c r="E885" s="2">
        <v>26</v>
      </c>
      <c r="F885" t="s">
        <v>14</v>
      </c>
      <c r="G885" s="2">
        <v>2</v>
      </c>
      <c r="H885" s="3">
        <v>30</v>
      </c>
      <c r="I885" s="3">
        <v>60</v>
      </c>
      <c r="J885" s="2" t="str">
        <f t="shared" si="13"/>
        <v>25–34</v>
      </c>
      <c r="K885" t="str" cm="1">
        <f t="array" ref="K885">_xlfn.IFS(
  OR(MONTH(B885)=12, MONTH(B885)=1, MONTH(B885)=2), "Winter",
  OR(MONTH(B885)=3, MONTH(B885)=4, MONTH(B885)=5), "Spring",
  OR(MONTH(B885)=6, MONTH(B885)=7, MONTH(B885)=8), "Summer",
  OR(MONTH(B885)=9, MONTH(B885)=10, MONTH(B885)=11), "Fall"
)</f>
        <v>Spring</v>
      </c>
    </row>
    <row r="886" spans="1:11">
      <c r="A886">
        <v>885</v>
      </c>
      <c r="B886" s="1">
        <v>44988</v>
      </c>
      <c r="C886" t="s">
        <v>898</v>
      </c>
      <c r="D886" t="s">
        <v>13</v>
      </c>
      <c r="E886" s="2">
        <v>52</v>
      </c>
      <c r="F886" t="s">
        <v>14</v>
      </c>
      <c r="G886" s="2">
        <v>4</v>
      </c>
      <c r="H886" s="3">
        <v>30</v>
      </c>
      <c r="I886" s="3">
        <v>120</v>
      </c>
      <c r="J886" s="2" t="str">
        <f t="shared" si="13"/>
        <v>45–54</v>
      </c>
      <c r="K886" t="str" cm="1">
        <f t="array" ref="K886">_xlfn.IFS(
  OR(MONTH(B886)=12, MONTH(B886)=1, MONTH(B886)=2), "Winter",
  OR(MONTH(B886)=3, MONTH(B886)=4, MONTH(B886)=5), "Spring",
  OR(MONTH(B886)=6, MONTH(B886)=7, MONTH(B886)=8), "Summer",
  OR(MONTH(B886)=9, MONTH(B886)=10, MONTH(B886)=11), "Fall"
)</f>
        <v>Spring</v>
      </c>
    </row>
    <row r="887" spans="1:11">
      <c r="A887">
        <v>886</v>
      </c>
      <c r="B887" s="1">
        <v>45025</v>
      </c>
      <c r="C887" t="s">
        <v>899</v>
      </c>
      <c r="D887" t="s">
        <v>10</v>
      </c>
      <c r="E887" s="2">
        <v>37</v>
      </c>
      <c r="F887" t="s">
        <v>16</v>
      </c>
      <c r="G887" s="2">
        <v>3</v>
      </c>
      <c r="H887" s="3">
        <v>300</v>
      </c>
      <c r="I887" s="3">
        <v>900</v>
      </c>
      <c r="J887" s="2" t="str">
        <f t="shared" si="13"/>
        <v>35–44</v>
      </c>
      <c r="K887" t="str" cm="1">
        <f t="array" ref="K887">_xlfn.IFS(
  OR(MONTH(B887)=12, MONTH(B887)=1, MONTH(B887)=2), "Winter",
  OR(MONTH(B887)=3, MONTH(B887)=4, MONTH(B887)=5), "Spring",
  OR(MONTH(B887)=6, MONTH(B887)=7, MONTH(B887)=8), "Summer",
  OR(MONTH(B887)=9, MONTH(B887)=10, MONTH(B887)=11), "Fall"
)</f>
        <v>Spring</v>
      </c>
    </row>
    <row r="888" spans="1:11">
      <c r="A888">
        <v>887</v>
      </c>
      <c r="B888" s="1">
        <v>45088</v>
      </c>
      <c r="C888" t="s">
        <v>900</v>
      </c>
      <c r="D888" t="s">
        <v>10</v>
      </c>
      <c r="E888" s="2">
        <v>59</v>
      </c>
      <c r="F888" t="s">
        <v>14</v>
      </c>
      <c r="G888" s="2">
        <v>4</v>
      </c>
      <c r="H888" s="3">
        <v>25</v>
      </c>
      <c r="I888" s="3">
        <v>100</v>
      </c>
      <c r="J888" s="2" t="str">
        <f t="shared" si="13"/>
        <v>55–64</v>
      </c>
      <c r="K888" t="str" cm="1">
        <f t="array" ref="K888">_xlfn.IFS(
  OR(MONTH(B888)=12, MONTH(B888)=1, MONTH(B888)=2), "Winter",
  OR(MONTH(B888)=3, MONTH(B888)=4, MONTH(B888)=5), "Spring",
  OR(MONTH(B888)=6, MONTH(B888)=7, MONTH(B888)=8), "Summer",
  OR(MONTH(B888)=9, MONTH(B888)=10, MONTH(B888)=11), "Fall"
)</f>
        <v>Summer</v>
      </c>
    </row>
    <row r="889" spans="1:11">
      <c r="A889">
        <v>888</v>
      </c>
      <c r="B889" s="1">
        <v>44988</v>
      </c>
      <c r="C889" t="s">
        <v>901</v>
      </c>
      <c r="D889" t="s">
        <v>13</v>
      </c>
      <c r="E889" s="2">
        <v>52</v>
      </c>
      <c r="F889" t="s">
        <v>16</v>
      </c>
      <c r="G889" s="2">
        <v>4</v>
      </c>
      <c r="H889" s="3">
        <v>25</v>
      </c>
      <c r="I889" s="3">
        <v>100</v>
      </c>
      <c r="J889" s="2" t="str">
        <f t="shared" si="13"/>
        <v>45–54</v>
      </c>
      <c r="K889" t="str" cm="1">
        <f t="array" ref="K889">_xlfn.IFS(
  OR(MONTH(B889)=12, MONTH(B889)=1, MONTH(B889)=2), "Winter",
  OR(MONTH(B889)=3, MONTH(B889)=4, MONTH(B889)=5), "Spring",
  OR(MONTH(B889)=6, MONTH(B889)=7, MONTH(B889)=8), "Summer",
  OR(MONTH(B889)=9, MONTH(B889)=10, MONTH(B889)=11), "Fall"
)</f>
        <v>Spring</v>
      </c>
    </row>
    <row r="890" spans="1:11">
      <c r="A890">
        <v>889</v>
      </c>
      <c r="B890" s="1">
        <v>45201</v>
      </c>
      <c r="C890" t="s">
        <v>902</v>
      </c>
      <c r="D890" t="s">
        <v>13</v>
      </c>
      <c r="E890" s="2">
        <v>35</v>
      </c>
      <c r="F890" t="s">
        <v>16</v>
      </c>
      <c r="G890" s="2">
        <v>1</v>
      </c>
      <c r="H890" s="3">
        <v>50</v>
      </c>
      <c r="I890" s="3">
        <v>50</v>
      </c>
      <c r="J890" s="2" t="str">
        <f t="shared" si="13"/>
        <v>35–44</v>
      </c>
      <c r="K890" t="str" cm="1">
        <f t="array" ref="K890">_xlfn.IFS(
  OR(MONTH(B890)=12, MONTH(B890)=1, MONTH(B890)=2), "Winter",
  OR(MONTH(B890)=3, MONTH(B890)=4, MONTH(B890)=5), "Spring",
  OR(MONTH(B890)=6, MONTH(B890)=7, MONTH(B890)=8), "Summer",
  OR(MONTH(B890)=9, MONTH(B890)=10, MONTH(B890)=11), "Fall"
)</f>
        <v>Fall</v>
      </c>
    </row>
    <row r="891" spans="1:11">
      <c r="A891">
        <v>890</v>
      </c>
      <c r="B891" s="1">
        <v>45280</v>
      </c>
      <c r="C891" t="s">
        <v>903</v>
      </c>
      <c r="D891" t="s">
        <v>10</v>
      </c>
      <c r="E891" s="2">
        <v>34</v>
      </c>
      <c r="F891" t="s">
        <v>16</v>
      </c>
      <c r="G891" s="2">
        <v>2</v>
      </c>
      <c r="H891" s="3">
        <v>25</v>
      </c>
      <c r="I891" s="3">
        <v>50</v>
      </c>
      <c r="J891" s="2" t="str">
        <f t="shared" si="13"/>
        <v>25–34</v>
      </c>
      <c r="K891" t="str" cm="1">
        <f t="array" ref="K891">_xlfn.IFS(
  OR(MONTH(B891)=12, MONTH(B891)=1, MONTH(B891)=2), "Winter",
  OR(MONTH(B891)=3, MONTH(B891)=4, MONTH(B891)=5), "Spring",
  OR(MONTH(B891)=6, MONTH(B891)=7, MONTH(B891)=8), "Summer",
  OR(MONTH(B891)=9, MONTH(B891)=10, MONTH(B891)=11), "Fall"
)</f>
        <v>Winter</v>
      </c>
    </row>
    <row r="892" spans="1:11">
      <c r="A892">
        <v>891</v>
      </c>
      <c r="B892" s="1">
        <v>45021</v>
      </c>
      <c r="C892" t="s">
        <v>904</v>
      </c>
      <c r="D892" t="s">
        <v>10</v>
      </c>
      <c r="E892" s="2">
        <v>41</v>
      </c>
      <c r="F892" t="s">
        <v>16</v>
      </c>
      <c r="G892" s="2">
        <v>3</v>
      </c>
      <c r="H892" s="3">
        <v>300</v>
      </c>
      <c r="I892" s="3">
        <v>900</v>
      </c>
      <c r="J892" s="2" t="str">
        <f t="shared" si="13"/>
        <v>35–44</v>
      </c>
      <c r="K892" t="str" cm="1">
        <f t="array" ref="K892">_xlfn.IFS(
  OR(MONTH(B892)=12, MONTH(B892)=1, MONTH(B892)=2), "Winter",
  OR(MONTH(B892)=3, MONTH(B892)=4, MONTH(B892)=5), "Spring",
  OR(MONTH(B892)=6, MONTH(B892)=7, MONTH(B892)=8), "Summer",
  OR(MONTH(B892)=9, MONTH(B892)=10, MONTH(B892)=11), "Fall"
)</f>
        <v>Spring</v>
      </c>
    </row>
    <row r="893" spans="1:11">
      <c r="A893">
        <v>892</v>
      </c>
      <c r="B893" s="1">
        <v>45025</v>
      </c>
      <c r="C893" t="s">
        <v>905</v>
      </c>
      <c r="D893" t="s">
        <v>10</v>
      </c>
      <c r="E893" s="2">
        <v>20</v>
      </c>
      <c r="F893" t="s">
        <v>16</v>
      </c>
      <c r="G893" s="2">
        <v>1</v>
      </c>
      <c r="H893" s="3">
        <v>50</v>
      </c>
      <c r="I893" s="3">
        <v>50</v>
      </c>
      <c r="J893" s="2" t="str">
        <f t="shared" si="13"/>
        <v>18–24</v>
      </c>
      <c r="K893" t="str" cm="1">
        <f t="array" ref="K893">_xlfn.IFS(
  OR(MONTH(B893)=12, MONTH(B893)=1, MONTH(B893)=2), "Winter",
  OR(MONTH(B893)=3, MONTH(B893)=4, MONTH(B893)=5), "Spring",
  OR(MONTH(B893)=6, MONTH(B893)=7, MONTH(B893)=8), "Summer",
  OR(MONTH(B893)=9, MONTH(B893)=10, MONTH(B893)=11), "Fall"
)</f>
        <v>Spring</v>
      </c>
    </row>
    <row r="894" spans="1:11">
      <c r="A894">
        <v>893</v>
      </c>
      <c r="B894" s="1">
        <v>45037</v>
      </c>
      <c r="C894" t="s">
        <v>906</v>
      </c>
      <c r="D894" t="s">
        <v>10</v>
      </c>
      <c r="E894" s="2">
        <v>49</v>
      </c>
      <c r="F894" t="s">
        <v>16</v>
      </c>
      <c r="G894" s="2">
        <v>1</v>
      </c>
      <c r="H894" s="3">
        <v>50</v>
      </c>
      <c r="I894" s="3">
        <v>50</v>
      </c>
      <c r="J894" s="2" t="str">
        <f t="shared" si="13"/>
        <v>45–54</v>
      </c>
      <c r="K894" t="str" cm="1">
        <f t="array" ref="K894">_xlfn.IFS(
  OR(MONTH(B894)=12, MONTH(B894)=1, MONTH(B894)=2), "Winter",
  OR(MONTH(B894)=3, MONTH(B894)=4, MONTH(B894)=5), "Spring",
  OR(MONTH(B894)=6, MONTH(B894)=7, MONTH(B894)=8), "Summer",
  OR(MONTH(B894)=9, MONTH(B894)=10, MONTH(B894)=11), "Fall"
)</f>
        <v>Spring</v>
      </c>
    </row>
    <row r="895" spans="1:11">
      <c r="A895">
        <v>894</v>
      </c>
      <c r="B895" s="1">
        <v>45174</v>
      </c>
      <c r="C895" t="s">
        <v>907</v>
      </c>
      <c r="D895" t="s">
        <v>10</v>
      </c>
      <c r="E895" s="2">
        <v>52</v>
      </c>
      <c r="F895" t="s">
        <v>16</v>
      </c>
      <c r="G895" s="2">
        <v>1</v>
      </c>
      <c r="H895" s="3">
        <v>30</v>
      </c>
      <c r="I895" s="3">
        <v>30</v>
      </c>
      <c r="J895" s="2" t="str">
        <f t="shared" si="13"/>
        <v>45–54</v>
      </c>
      <c r="K895" t="str" cm="1">
        <f t="array" ref="K895">_xlfn.IFS(
  OR(MONTH(B895)=12, MONTH(B895)=1, MONTH(B895)=2), "Winter",
  OR(MONTH(B895)=3, MONTH(B895)=4, MONTH(B895)=5), "Spring",
  OR(MONTH(B895)=6, MONTH(B895)=7, MONTH(B895)=8), "Summer",
  OR(MONTH(B895)=9, MONTH(B895)=10, MONTH(B895)=11), "Fall"
)</f>
        <v>Fall</v>
      </c>
    </row>
    <row r="896" spans="1:11">
      <c r="A896">
        <v>895</v>
      </c>
      <c r="B896" s="1">
        <v>45068</v>
      </c>
      <c r="C896" t="s">
        <v>908</v>
      </c>
      <c r="D896" t="s">
        <v>13</v>
      </c>
      <c r="E896" s="2">
        <v>55</v>
      </c>
      <c r="F896" t="s">
        <v>14</v>
      </c>
      <c r="G896" s="2">
        <v>4</v>
      </c>
      <c r="H896" s="3">
        <v>30</v>
      </c>
      <c r="I896" s="3">
        <v>120</v>
      </c>
      <c r="J896" s="2" t="str">
        <f t="shared" si="13"/>
        <v>55–64</v>
      </c>
      <c r="K896" t="str" cm="1">
        <f t="array" ref="K896">_xlfn.IFS(
  OR(MONTH(B896)=12, MONTH(B896)=1, MONTH(B896)=2), "Winter",
  OR(MONTH(B896)=3, MONTH(B896)=4, MONTH(B896)=5), "Spring",
  OR(MONTH(B896)=6, MONTH(B896)=7, MONTH(B896)=8), "Summer",
  OR(MONTH(B896)=9, MONTH(B896)=10, MONTH(B896)=11), "Fall"
)</f>
        <v>Spring</v>
      </c>
    </row>
    <row r="897" spans="1:11">
      <c r="A897">
        <v>896</v>
      </c>
      <c r="B897" s="1">
        <v>45228</v>
      </c>
      <c r="C897" t="s">
        <v>909</v>
      </c>
      <c r="D897" t="s">
        <v>13</v>
      </c>
      <c r="E897" s="2">
        <v>30</v>
      </c>
      <c r="F897" t="s">
        <v>16</v>
      </c>
      <c r="G897" s="2">
        <v>2</v>
      </c>
      <c r="H897" s="3">
        <v>25</v>
      </c>
      <c r="I897" s="3">
        <v>50</v>
      </c>
      <c r="J897" s="2" t="str">
        <f t="shared" si="13"/>
        <v>25–34</v>
      </c>
      <c r="K897" t="str" cm="1">
        <f t="array" ref="K897">_xlfn.IFS(
  OR(MONTH(B897)=12, MONTH(B897)=1, MONTH(B897)=2), "Winter",
  OR(MONTH(B897)=3, MONTH(B897)=4, MONTH(B897)=5), "Spring",
  OR(MONTH(B897)=6, MONTH(B897)=7, MONTH(B897)=8), "Summer",
  OR(MONTH(B897)=9, MONTH(B897)=10, MONTH(B897)=11), "Fall"
)</f>
        <v>Fall</v>
      </c>
    </row>
    <row r="898" spans="1:11">
      <c r="A898">
        <v>897</v>
      </c>
      <c r="B898" s="1">
        <v>45195</v>
      </c>
      <c r="C898" t="s">
        <v>910</v>
      </c>
      <c r="D898" t="s">
        <v>13</v>
      </c>
      <c r="E898" s="2">
        <v>64</v>
      </c>
      <c r="F898" t="s">
        <v>16</v>
      </c>
      <c r="G898" s="2">
        <v>2</v>
      </c>
      <c r="H898" s="3">
        <v>50</v>
      </c>
      <c r="I898" s="3">
        <v>100</v>
      </c>
      <c r="J898" s="2" t="str">
        <f t="shared" ref="J898:J961" si="14">IF(AND(E898&gt;=18, E898&lt;=24), "18–24",
 IF(AND(E898&gt;=25, E898&lt;=34), "25–34",
 IF(AND(E898&gt;=35, E898&lt;=44), "35–44",
 IF(AND(E898&gt;=45, E898&lt;=54), "45–54",
 IF(AND(E898&gt;=55, E898&lt;=64), "55–64", "Other")))))</f>
        <v>55–64</v>
      </c>
      <c r="K898" t="str" cm="1">
        <f t="array" ref="K898">_xlfn.IFS(
  OR(MONTH(B898)=12, MONTH(B898)=1, MONTH(B898)=2), "Winter",
  OR(MONTH(B898)=3, MONTH(B898)=4, MONTH(B898)=5), "Spring",
  OR(MONTH(B898)=6, MONTH(B898)=7, MONTH(B898)=8), "Summer",
  OR(MONTH(B898)=9, MONTH(B898)=10, MONTH(B898)=11), "Fall"
)</f>
        <v>Fall</v>
      </c>
    </row>
    <row r="899" spans="1:11">
      <c r="A899">
        <v>898</v>
      </c>
      <c r="B899" s="1">
        <v>45232</v>
      </c>
      <c r="C899" t="s">
        <v>911</v>
      </c>
      <c r="D899" t="s">
        <v>13</v>
      </c>
      <c r="E899" s="2">
        <v>42</v>
      </c>
      <c r="F899" t="s">
        <v>14</v>
      </c>
      <c r="G899" s="2">
        <v>3</v>
      </c>
      <c r="H899" s="3">
        <v>30</v>
      </c>
      <c r="I899" s="3">
        <v>90</v>
      </c>
      <c r="J899" s="2" t="str">
        <f t="shared" si="14"/>
        <v>35–44</v>
      </c>
      <c r="K899" t="str" cm="1">
        <f t="array" ref="K899">_xlfn.IFS(
  OR(MONTH(B899)=12, MONTH(B899)=1, MONTH(B899)=2), "Winter",
  OR(MONTH(B899)=3, MONTH(B899)=4, MONTH(B899)=5), "Spring",
  OR(MONTH(B899)=6, MONTH(B899)=7, MONTH(B899)=8), "Summer",
  OR(MONTH(B899)=9, MONTH(B899)=10, MONTH(B899)=11), "Fall"
)</f>
        <v>Fall</v>
      </c>
    </row>
    <row r="900" spans="1:11">
      <c r="A900">
        <v>899</v>
      </c>
      <c r="B900" s="1">
        <v>45071</v>
      </c>
      <c r="C900" t="s">
        <v>912</v>
      </c>
      <c r="D900" t="s">
        <v>10</v>
      </c>
      <c r="E900" s="2">
        <v>26</v>
      </c>
      <c r="F900" t="s">
        <v>14</v>
      </c>
      <c r="G900" s="2">
        <v>2</v>
      </c>
      <c r="H900" s="3">
        <v>300</v>
      </c>
      <c r="I900" s="3">
        <v>600</v>
      </c>
      <c r="J900" s="2" t="str">
        <f t="shared" si="14"/>
        <v>25–34</v>
      </c>
      <c r="K900" t="str" cm="1">
        <f t="array" ref="K900">_xlfn.IFS(
  OR(MONTH(B900)=12, MONTH(B900)=1, MONTH(B900)=2), "Winter",
  OR(MONTH(B900)=3, MONTH(B900)=4, MONTH(B900)=5), "Spring",
  OR(MONTH(B900)=6, MONTH(B900)=7, MONTH(B900)=8), "Summer",
  OR(MONTH(B900)=9, MONTH(B900)=10, MONTH(B900)=11), "Fall"
)</f>
        <v>Spring</v>
      </c>
    </row>
    <row r="901" spans="1:11">
      <c r="A901">
        <v>900</v>
      </c>
      <c r="B901" s="1">
        <v>44978</v>
      </c>
      <c r="C901" t="s">
        <v>913</v>
      </c>
      <c r="D901" t="s">
        <v>10</v>
      </c>
      <c r="E901" s="2">
        <v>21</v>
      </c>
      <c r="F901" t="s">
        <v>14</v>
      </c>
      <c r="G901" s="2">
        <v>2</v>
      </c>
      <c r="H901" s="3">
        <v>30</v>
      </c>
      <c r="I901" s="3">
        <v>60</v>
      </c>
      <c r="J901" s="2" t="str">
        <f t="shared" si="14"/>
        <v>18–24</v>
      </c>
      <c r="K901" t="str" cm="1">
        <f t="array" ref="K901">_xlfn.IFS(
  OR(MONTH(B901)=12, MONTH(B901)=1, MONTH(B901)=2), "Winter",
  OR(MONTH(B901)=3, MONTH(B901)=4, MONTH(B901)=5), "Spring",
  OR(MONTH(B901)=6, MONTH(B901)=7, MONTH(B901)=8), "Summer",
  OR(MONTH(B901)=9, MONTH(B901)=10, MONTH(B901)=11), "Fall"
)</f>
        <v>Winter</v>
      </c>
    </row>
    <row r="902" spans="1:11">
      <c r="A902">
        <v>901</v>
      </c>
      <c r="B902" s="1">
        <v>45026</v>
      </c>
      <c r="C902" t="s">
        <v>914</v>
      </c>
      <c r="D902" t="s">
        <v>10</v>
      </c>
      <c r="E902" s="2">
        <v>31</v>
      </c>
      <c r="F902" t="s">
        <v>16</v>
      </c>
      <c r="G902" s="2">
        <v>1</v>
      </c>
      <c r="H902" s="3">
        <v>30</v>
      </c>
      <c r="I902" s="3">
        <v>30</v>
      </c>
      <c r="J902" s="2" t="str">
        <f t="shared" si="14"/>
        <v>25–34</v>
      </c>
      <c r="K902" t="str" cm="1">
        <f t="array" ref="K902">_xlfn.IFS(
  OR(MONTH(B902)=12, MONTH(B902)=1, MONTH(B902)=2), "Winter",
  OR(MONTH(B902)=3, MONTH(B902)=4, MONTH(B902)=5), "Spring",
  OR(MONTH(B902)=6, MONTH(B902)=7, MONTH(B902)=8), "Summer",
  OR(MONTH(B902)=9, MONTH(B902)=10, MONTH(B902)=11), "Fall"
)</f>
        <v>Spring</v>
      </c>
    </row>
    <row r="903" spans="1:11">
      <c r="A903">
        <v>902</v>
      </c>
      <c r="B903" s="1">
        <v>45078</v>
      </c>
      <c r="C903" t="s">
        <v>915</v>
      </c>
      <c r="D903" t="s">
        <v>13</v>
      </c>
      <c r="E903" s="2">
        <v>54</v>
      </c>
      <c r="F903" t="s">
        <v>11</v>
      </c>
      <c r="G903" s="2">
        <v>1</v>
      </c>
      <c r="H903" s="3">
        <v>50</v>
      </c>
      <c r="I903" s="3">
        <v>50</v>
      </c>
      <c r="J903" s="2" t="str">
        <f t="shared" si="14"/>
        <v>45–54</v>
      </c>
      <c r="K903" t="str" cm="1">
        <f t="array" ref="K903">_xlfn.IFS(
  OR(MONTH(B903)=12, MONTH(B903)=1, MONTH(B903)=2), "Winter",
  OR(MONTH(B903)=3, MONTH(B903)=4, MONTH(B903)=5), "Spring",
  OR(MONTH(B903)=6, MONTH(B903)=7, MONTH(B903)=8), "Summer",
  OR(MONTH(B903)=9, MONTH(B903)=10, MONTH(B903)=11), "Fall"
)</f>
        <v>Summer</v>
      </c>
    </row>
    <row r="904" spans="1:11">
      <c r="A904">
        <v>903</v>
      </c>
      <c r="B904" s="1">
        <v>45043</v>
      </c>
      <c r="C904" t="s">
        <v>916</v>
      </c>
      <c r="D904" t="s">
        <v>13</v>
      </c>
      <c r="E904" s="2">
        <v>51</v>
      </c>
      <c r="F904" t="s">
        <v>11</v>
      </c>
      <c r="G904" s="2">
        <v>4</v>
      </c>
      <c r="H904" s="3">
        <v>50</v>
      </c>
      <c r="I904" s="3">
        <v>200</v>
      </c>
      <c r="J904" s="2" t="str">
        <f t="shared" si="14"/>
        <v>45–54</v>
      </c>
      <c r="K904" t="str" cm="1">
        <f t="array" ref="K904">_xlfn.IFS(
  OR(MONTH(B904)=12, MONTH(B904)=1, MONTH(B904)=2), "Winter",
  OR(MONTH(B904)=3, MONTH(B904)=4, MONTH(B904)=5), "Spring",
  OR(MONTH(B904)=6, MONTH(B904)=7, MONTH(B904)=8), "Summer",
  OR(MONTH(B904)=9, MONTH(B904)=10, MONTH(B904)=11), "Fall"
)</f>
        <v>Spring</v>
      </c>
    </row>
    <row r="905" spans="1:11">
      <c r="A905">
        <v>904</v>
      </c>
      <c r="B905" s="1">
        <v>45111</v>
      </c>
      <c r="C905" t="s">
        <v>917</v>
      </c>
      <c r="D905" t="s">
        <v>10</v>
      </c>
      <c r="E905" s="2">
        <v>28</v>
      </c>
      <c r="F905" t="s">
        <v>14</v>
      </c>
      <c r="G905" s="2">
        <v>1</v>
      </c>
      <c r="H905" s="3">
        <v>500</v>
      </c>
      <c r="I905" s="3">
        <v>500</v>
      </c>
      <c r="J905" s="2" t="str">
        <f t="shared" si="14"/>
        <v>25–34</v>
      </c>
      <c r="K905" t="str" cm="1">
        <f t="array" ref="K905">_xlfn.IFS(
  OR(MONTH(B905)=12, MONTH(B905)=1, MONTH(B905)=2), "Winter",
  OR(MONTH(B905)=3, MONTH(B905)=4, MONTH(B905)=5), "Spring",
  OR(MONTH(B905)=6, MONTH(B905)=7, MONTH(B905)=8), "Summer",
  OR(MONTH(B905)=9, MONTH(B905)=10, MONTH(B905)=11), "Fall"
)</f>
        <v>Summer</v>
      </c>
    </row>
    <row r="906" spans="1:11">
      <c r="A906">
        <v>905</v>
      </c>
      <c r="B906" s="1">
        <v>45018</v>
      </c>
      <c r="C906" t="s">
        <v>918</v>
      </c>
      <c r="D906" t="s">
        <v>10</v>
      </c>
      <c r="E906" s="2">
        <v>58</v>
      </c>
      <c r="F906" t="s">
        <v>11</v>
      </c>
      <c r="G906" s="2">
        <v>1</v>
      </c>
      <c r="H906" s="3">
        <v>300</v>
      </c>
      <c r="I906" s="3">
        <v>300</v>
      </c>
      <c r="J906" s="2" t="str">
        <f t="shared" si="14"/>
        <v>55–64</v>
      </c>
      <c r="K906" t="str" cm="1">
        <f t="array" ref="K906">_xlfn.IFS(
  OR(MONTH(B906)=12, MONTH(B906)=1, MONTH(B906)=2), "Winter",
  OR(MONTH(B906)=3, MONTH(B906)=4, MONTH(B906)=5), "Spring",
  OR(MONTH(B906)=6, MONTH(B906)=7, MONTH(B906)=8), "Summer",
  OR(MONTH(B906)=9, MONTH(B906)=10, MONTH(B906)=11), "Fall"
)</f>
        <v>Spring</v>
      </c>
    </row>
    <row r="907" spans="1:11">
      <c r="A907">
        <v>906</v>
      </c>
      <c r="B907" s="1">
        <v>45081</v>
      </c>
      <c r="C907" t="s">
        <v>919</v>
      </c>
      <c r="D907" t="s">
        <v>13</v>
      </c>
      <c r="E907" s="2">
        <v>20</v>
      </c>
      <c r="F907" t="s">
        <v>14</v>
      </c>
      <c r="G907" s="2">
        <v>1</v>
      </c>
      <c r="H907" s="3">
        <v>50</v>
      </c>
      <c r="I907" s="3">
        <v>50</v>
      </c>
      <c r="J907" s="2" t="str">
        <f t="shared" si="14"/>
        <v>18–24</v>
      </c>
      <c r="K907" t="str" cm="1">
        <f t="array" ref="K907">_xlfn.IFS(
  OR(MONTH(B907)=12, MONTH(B907)=1, MONTH(B907)=2), "Winter",
  OR(MONTH(B907)=3, MONTH(B907)=4, MONTH(B907)=5), "Spring",
  OR(MONTH(B907)=6, MONTH(B907)=7, MONTH(B907)=8), "Summer",
  OR(MONTH(B907)=9, MONTH(B907)=10, MONTH(B907)=11), "Fall"
)</f>
        <v>Summer</v>
      </c>
    </row>
    <row r="908" spans="1:11">
      <c r="A908">
        <v>907</v>
      </c>
      <c r="B908" s="1">
        <v>44934</v>
      </c>
      <c r="C908" t="s">
        <v>920</v>
      </c>
      <c r="D908" t="s">
        <v>13</v>
      </c>
      <c r="E908" s="2">
        <v>45</v>
      </c>
      <c r="F908" t="s">
        <v>16</v>
      </c>
      <c r="G908" s="2">
        <v>1</v>
      </c>
      <c r="H908" s="3">
        <v>25</v>
      </c>
      <c r="I908" s="3">
        <v>25</v>
      </c>
      <c r="J908" s="2" t="str">
        <f t="shared" si="14"/>
        <v>45–54</v>
      </c>
      <c r="K908" t="str" cm="1">
        <f t="array" ref="K908">_xlfn.IFS(
  OR(MONTH(B908)=12, MONTH(B908)=1, MONTH(B908)=2), "Winter",
  OR(MONTH(B908)=3, MONTH(B908)=4, MONTH(B908)=5), "Spring",
  OR(MONTH(B908)=6, MONTH(B908)=7, MONTH(B908)=8), "Summer",
  OR(MONTH(B908)=9, MONTH(B908)=10, MONTH(B908)=11), "Fall"
)</f>
        <v>Winter</v>
      </c>
    </row>
    <row r="909" spans="1:11">
      <c r="A909">
        <v>908</v>
      </c>
      <c r="B909" s="1">
        <v>45289</v>
      </c>
      <c r="C909" t="s">
        <v>921</v>
      </c>
      <c r="D909" t="s">
        <v>10</v>
      </c>
      <c r="E909" s="2">
        <v>46</v>
      </c>
      <c r="F909" t="s">
        <v>11</v>
      </c>
      <c r="G909" s="2">
        <v>4</v>
      </c>
      <c r="H909" s="3">
        <v>300</v>
      </c>
      <c r="I909" s="3">
        <v>1200</v>
      </c>
      <c r="J909" s="2" t="str">
        <f t="shared" si="14"/>
        <v>45–54</v>
      </c>
      <c r="K909" t="str" cm="1">
        <f t="array" ref="K909">_xlfn.IFS(
  OR(MONTH(B909)=12, MONTH(B909)=1, MONTH(B909)=2), "Winter",
  OR(MONTH(B909)=3, MONTH(B909)=4, MONTH(B909)=5), "Spring",
  OR(MONTH(B909)=6, MONTH(B909)=7, MONTH(B909)=8), "Summer",
  OR(MONTH(B909)=9, MONTH(B909)=10, MONTH(B909)=11), "Fall"
)</f>
        <v>Winter</v>
      </c>
    </row>
    <row r="910" spans="1:11">
      <c r="A910">
        <v>909</v>
      </c>
      <c r="B910" s="1">
        <v>45200</v>
      </c>
      <c r="C910" t="s">
        <v>922</v>
      </c>
      <c r="D910" t="s">
        <v>10</v>
      </c>
      <c r="E910" s="2">
        <v>26</v>
      </c>
      <c r="F910" t="s">
        <v>16</v>
      </c>
      <c r="G910" s="2">
        <v>1</v>
      </c>
      <c r="H910" s="3">
        <v>300</v>
      </c>
      <c r="I910" s="3">
        <v>300</v>
      </c>
      <c r="J910" s="2" t="str">
        <f t="shared" si="14"/>
        <v>25–34</v>
      </c>
      <c r="K910" t="str" cm="1">
        <f t="array" ref="K910">_xlfn.IFS(
  OR(MONTH(B910)=12, MONTH(B910)=1, MONTH(B910)=2), "Winter",
  OR(MONTH(B910)=3, MONTH(B910)=4, MONTH(B910)=5), "Spring",
  OR(MONTH(B910)=6, MONTH(B910)=7, MONTH(B910)=8), "Summer",
  OR(MONTH(B910)=9, MONTH(B910)=10, MONTH(B910)=11), "Fall"
)</f>
        <v>Fall</v>
      </c>
    </row>
    <row r="911" spans="1:11">
      <c r="A911">
        <v>910</v>
      </c>
      <c r="B911" s="1">
        <v>44991</v>
      </c>
      <c r="C911" t="s">
        <v>923</v>
      </c>
      <c r="D911" t="s">
        <v>13</v>
      </c>
      <c r="E911" s="2">
        <v>20</v>
      </c>
      <c r="F911" t="s">
        <v>11</v>
      </c>
      <c r="G911" s="2">
        <v>3</v>
      </c>
      <c r="H911" s="3">
        <v>50</v>
      </c>
      <c r="I911" s="3">
        <v>150</v>
      </c>
      <c r="J911" s="2" t="str">
        <f t="shared" si="14"/>
        <v>18–24</v>
      </c>
      <c r="K911" t="str" cm="1">
        <f t="array" ref="K911">_xlfn.IFS(
  OR(MONTH(B911)=12, MONTH(B911)=1, MONTH(B911)=2), "Winter",
  OR(MONTH(B911)=3, MONTH(B911)=4, MONTH(B911)=5), "Spring",
  OR(MONTH(B911)=6, MONTH(B911)=7, MONTH(B911)=8), "Summer",
  OR(MONTH(B911)=9, MONTH(B911)=10, MONTH(B911)=11), "Fall"
)</f>
        <v>Spring</v>
      </c>
    </row>
    <row r="912" spans="1:11">
      <c r="A912">
        <v>911</v>
      </c>
      <c r="B912" s="1">
        <v>45067</v>
      </c>
      <c r="C912" t="s">
        <v>924</v>
      </c>
      <c r="D912" t="s">
        <v>10</v>
      </c>
      <c r="E912" s="2">
        <v>42</v>
      </c>
      <c r="F912" t="s">
        <v>16</v>
      </c>
      <c r="G912" s="2">
        <v>3</v>
      </c>
      <c r="H912" s="3">
        <v>300</v>
      </c>
      <c r="I912" s="3">
        <v>900</v>
      </c>
      <c r="J912" s="2" t="str">
        <f t="shared" si="14"/>
        <v>35–44</v>
      </c>
      <c r="K912" t="str" cm="1">
        <f t="array" ref="K912">_xlfn.IFS(
  OR(MONTH(B912)=12, MONTH(B912)=1, MONTH(B912)=2), "Winter",
  OR(MONTH(B912)=3, MONTH(B912)=4, MONTH(B912)=5), "Spring",
  OR(MONTH(B912)=6, MONTH(B912)=7, MONTH(B912)=8), "Summer",
  OR(MONTH(B912)=9, MONTH(B912)=10, MONTH(B912)=11), "Fall"
)</f>
        <v>Spring</v>
      </c>
    </row>
    <row r="913" spans="1:11">
      <c r="A913">
        <v>912</v>
      </c>
      <c r="B913" s="1">
        <v>44950</v>
      </c>
      <c r="C913" t="s">
        <v>925</v>
      </c>
      <c r="D913" t="s">
        <v>10</v>
      </c>
      <c r="E913" s="2">
        <v>51</v>
      </c>
      <c r="F913" t="s">
        <v>11</v>
      </c>
      <c r="G913" s="2">
        <v>3</v>
      </c>
      <c r="H913" s="3">
        <v>50</v>
      </c>
      <c r="I913" s="3">
        <v>150</v>
      </c>
      <c r="J913" s="2" t="str">
        <f t="shared" si="14"/>
        <v>45–54</v>
      </c>
      <c r="K913" t="str" cm="1">
        <f t="array" ref="K913">_xlfn.IFS(
  OR(MONTH(B913)=12, MONTH(B913)=1, MONTH(B913)=2), "Winter",
  OR(MONTH(B913)=3, MONTH(B913)=4, MONTH(B913)=5), "Spring",
  OR(MONTH(B913)=6, MONTH(B913)=7, MONTH(B913)=8), "Summer",
  OR(MONTH(B913)=9, MONTH(B913)=10, MONTH(B913)=11), "Fall"
)</f>
        <v>Winter</v>
      </c>
    </row>
    <row r="914" spans="1:11">
      <c r="A914">
        <v>913</v>
      </c>
      <c r="B914" s="1">
        <v>44954</v>
      </c>
      <c r="C914" t="s">
        <v>926</v>
      </c>
      <c r="D914" t="s">
        <v>10</v>
      </c>
      <c r="E914" s="2">
        <v>29</v>
      </c>
      <c r="F914" t="s">
        <v>16</v>
      </c>
      <c r="G914" s="2">
        <v>3</v>
      </c>
      <c r="H914" s="3">
        <v>30</v>
      </c>
      <c r="I914" s="3">
        <v>90</v>
      </c>
      <c r="J914" s="2" t="str">
        <f t="shared" si="14"/>
        <v>25–34</v>
      </c>
      <c r="K914" t="str" cm="1">
        <f t="array" ref="K914">_xlfn.IFS(
  OR(MONTH(B914)=12, MONTH(B914)=1, MONTH(B914)=2), "Winter",
  OR(MONTH(B914)=3, MONTH(B914)=4, MONTH(B914)=5), "Spring",
  OR(MONTH(B914)=6, MONTH(B914)=7, MONTH(B914)=8), "Summer",
  OR(MONTH(B914)=9, MONTH(B914)=10, MONTH(B914)=11), "Fall"
)</f>
        <v>Winter</v>
      </c>
    </row>
    <row r="915" spans="1:11">
      <c r="A915">
        <v>914</v>
      </c>
      <c r="B915" s="1">
        <v>45210</v>
      </c>
      <c r="C915" t="s">
        <v>927</v>
      </c>
      <c r="D915" t="s">
        <v>13</v>
      </c>
      <c r="E915" s="2">
        <v>59</v>
      </c>
      <c r="F915" t="s">
        <v>16</v>
      </c>
      <c r="G915" s="2">
        <v>1</v>
      </c>
      <c r="H915" s="3">
        <v>500</v>
      </c>
      <c r="I915" s="3">
        <v>500</v>
      </c>
      <c r="J915" s="2" t="str">
        <f t="shared" si="14"/>
        <v>55–64</v>
      </c>
      <c r="K915" t="str" cm="1">
        <f t="array" ref="K915">_xlfn.IFS(
  OR(MONTH(B915)=12, MONTH(B915)=1, MONTH(B915)=2), "Winter",
  OR(MONTH(B915)=3, MONTH(B915)=4, MONTH(B915)=5), "Spring",
  OR(MONTH(B915)=6, MONTH(B915)=7, MONTH(B915)=8), "Summer",
  OR(MONTH(B915)=9, MONTH(B915)=10, MONTH(B915)=11), "Fall"
)</f>
        <v>Fall</v>
      </c>
    </row>
    <row r="916" spans="1:11">
      <c r="A916">
        <v>915</v>
      </c>
      <c r="B916" s="1">
        <v>45076</v>
      </c>
      <c r="C916" t="s">
        <v>928</v>
      </c>
      <c r="D916" t="s">
        <v>13</v>
      </c>
      <c r="E916" s="2">
        <v>26</v>
      </c>
      <c r="F916" t="s">
        <v>11</v>
      </c>
      <c r="G916" s="2">
        <v>3</v>
      </c>
      <c r="H916" s="3">
        <v>30</v>
      </c>
      <c r="I916" s="3">
        <v>90</v>
      </c>
      <c r="J916" s="2" t="str">
        <f t="shared" si="14"/>
        <v>25–34</v>
      </c>
      <c r="K916" t="str" cm="1">
        <f t="array" ref="K916">_xlfn.IFS(
  OR(MONTH(B916)=12, MONTH(B916)=1, MONTH(B916)=2), "Winter",
  OR(MONTH(B916)=3, MONTH(B916)=4, MONTH(B916)=5), "Spring",
  OR(MONTH(B916)=6, MONTH(B916)=7, MONTH(B916)=8), "Summer",
  OR(MONTH(B916)=9, MONTH(B916)=10, MONTH(B916)=11), "Fall"
)</f>
        <v>Spring</v>
      </c>
    </row>
    <row r="917" spans="1:11">
      <c r="A917">
        <v>916</v>
      </c>
      <c r="B917" s="1">
        <v>45284</v>
      </c>
      <c r="C917" t="s">
        <v>929</v>
      </c>
      <c r="D917" t="s">
        <v>13</v>
      </c>
      <c r="E917" s="2">
        <v>32</v>
      </c>
      <c r="F917" t="s">
        <v>16</v>
      </c>
      <c r="G917" s="2">
        <v>1</v>
      </c>
      <c r="H917" s="3">
        <v>50</v>
      </c>
      <c r="I917" s="3">
        <v>50</v>
      </c>
      <c r="J917" s="2" t="str">
        <f t="shared" si="14"/>
        <v>25–34</v>
      </c>
      <c r="K917" t="str" cm="1">
        <f t="array" ref="K917">_xlfn.IFS(
  OR(MONTH(B917)=12, MONTH(B917)=1, MONTH(B917)=2), "Winter",
  OR(MONTH(B917)=3, MONTH(B917)=4, MONTH(B917)=5), "Spring",
  OR(MONTH(B917)=6, MONTH(B917)=7, MONTH(B917)=8), "Summer",
  OR(MONTH(B917)=9, MONTH(B917)=10, MONTH(B917)=11), "Fall"
)</f>
        <v>Winter</v>
      </c>
    </row>
    <row r="918" spans="1:11">
      <c r="A918">
        <v>917</v>
      </c>
      <c r="B918" s="1">
        <v>44991</v>
      </c>
      <c r="C918" t="s">
        <v>930</v>
      </c>
      <c r="D918" t="s">
        <v>13</v>
      </c>
      <c r="E918" s="2">
        <v>57</v>
      </c>
      <c r="F918" t="s">
        <v>16</v>
      </c>
      <c r="G918" s="2">
        <v>4</v>
      </c>
      <c r="H918" s="3">
        <v>50</v>
      </c>
      <c r="I918" s="3">
        <v>200</v>
      </c>
      <c r="J918" s="2" t="str">
        <f t="shared" si="14"/>
        <v>55–64</v>
      </c>
      <c r="K918" t="str" cm="1">
        <f t="array" ref="K918">_xlfn.IFS(
  OR(MONTH(B918)=12, MONTH(B918)=1, MONTH(B918)=2), "Winter",
  OR(MONTH(B918)=3, MONTH(B918)=4, MONTH(B918)=5), "Spring",
  OR(MONTH(B918)=6, MONTH(B918)=7, MONTH(B918)=8), "Summer",
  OR(MONTH(B918)=9, MONTH(B918)=10, MONTH(B918)=11), "Fall"
)</f>
        <v>Spring</v>
      </c>
    </row>
    <row r="919" spans="1:11">
      <c r="A919">
        <v>918</v>
      </c>
      <c r="B919" s="1">
        <v>45253</v>
      </c>
      <c r="C919" t="s">
        <v>931</v>
      </c>
      <c r="D919" t="s">
        <v>13</v>
      </c>
      <c r="E919" s="2">
        <v>42</v>
      </c>
      <c r="F919" t="s">
        <v>16</v>
      </c>
      <c r="G919" s="2">
        <v>3</v>
      </c>
      <c r="H919" s="3">
        <v>30</v>
      </c>
      <c r="I919" s="3">
        <v>90</v>
      </c>
      <c r="J919" s="2" t="str">
        <f t="shared" si="14"/>
        <v>35–44</v>
      </c>
      <c r="K919" t="str" cm="1">
        <f t="array" ref="K919">_xlfn.IFS(
  OR(MONTH(B919)=12, MONTH(B919)=1, MONTH(B919)=2), "Winter",
  OR(MONTH(B919)=3, MONTH(B919)=4, MONTH(B919)=5), "Spring",
  OR(MONTH(B919)=6, MONTH(B919)=7, MONTH(B919)=8), "Summer",
  OR(MONTH(B919)=9, MONTH(B919)=10, MONTH(B919)=11), "Fall"
)</f>
        <v>Fall</v>
      </c>
    </row>
    <row r="920" spans="1:11">
      <c r="A920">
        <v>919</v>
      </c>
      <c r="B920" s="1">
        <v>45178</v>
      </c>
      <c r="C920" t="s">
        <v>932</v>
      </c>
      <c r="D920" t="s">
        <v>13</v>
      </c>
      <c r="E920" s="2">
        <v>22</v>
      </c>
      <c r="F920" t="s">
        <v>11</v>
      </c>
      <c r="G920" s="2">
        <v>2</v>
      </c>
      <c r="H920" s="3">
        <v>25</v>
      </c>
      <c r="I920" s="3">
        <v>50</v>
      </c>
      <c r="J920" s="2" t="str">
        <f t="shared" si="14"/>
        <v>18–24</v>
      </c>
      <c r="K920" t="str" cm="1">
        <f t="array" ref="K920">_xlfn.IFS(
  OR(MONTH(B920)=12, MONTH(B920)=1, MONTH(B920)=2), "Winter",
  OR(MONTH(B920)=3, MONTH(B920)=4, MONTH(B920)=5), "Spring",
  OR(MONTH(B920)=6, MONTH(B920)=7, MONTH(B920)=8), "Summer",
  OR(MONTH(B920)=9, MONTH(B920)=10, MONTH(B920)=11), "Fall"
)</f>
        <v>Fall</v>
      </c>
    </row>
    <row r="921" spans="1:11">
      <c r="A921">
        <v>920</v>
      </c>
      <c r="B921" s="1">
        <v>44979</v>
      </c>
      <c r="C921" t="s">
        <v>933</v>
      </c>
      <c r="D921" t="s">
        <v>13</v>
      </c>
      <c r="E921" s="2">
        <v>28</v>
      </c>
      <c r="F921" t="s">
        <v>11</v>
      </c>
      <c r="G921" s="2">
        <v>3</v>
      </c>
      <c r="H921" s="3">
        <v>25</v>
      </c>
      <c r="I921" s="3">
        <v>75</v>
      </c>
      <c r="J921" s="2" t="str">
        <f t="shared" si="14"/>
        <v>25–34</v>
      </c>
      <c r="K921" t="str" cm="1">
        <f t="array" ref="K921">_xlfn.IFS(
  OR(MONTH(B921)=12, MONTH(B921)=1, MONTH(B921)=2), "Winter",
  OR(MONTH(B921)=3, MONTH(B921)=4, MONTH(B921)=5), "Spring",
  OR(MONTH(B921)=6, MONTH(B921)=7, MONTH(B921)=8), "Summer",
  OR(MONTH(B921)=9, MONTH(B921)=10, MONTH(B921)=11), "Fall"
)</f>
        <v>Winter</v>
      </c>
    </row>
    <row r="922" spans="1:11">
      <c r="A922">
        <v>921</v>
      </c>
      <c r="B922" s="1">
        <v>44933</v>
      </c>
      <c r="C922" t="s">
        <v>934</v>
      </c>
      <c r="D922" t="s">
        <v>10</v>
      </c>
      <c r="E922" s="2">
        <v>51</v>
      </c>
      <c r="F922" t="s">
        <v>16</v>
      </c>
      <c r="G922" s="2">
        <v>3</v>
      </c>
      <c r="H922" s="3">
        <v>25</v>
      </c>
      <c r="I922" s="3">
        <v>75</v>
      </c>
      <c r="J922" s="2" t="str">
        <f t="shared" si="14"/>
        <v>45–54</v>
      </c>
      <c r="K922" t="str" cm="1">
        <f t="array" ref="K922">_xlfn.IFS(
  OR(MONTH(B922)=12, MONTH(B922)=1, MONTH(B922)=2), "Winter",
  OR(MONTH(B922)=3, MONTH(B922)=4, MONTH(B922)=5), "Spring",
  OR(MONTH(B922)=6, MONTH(B922)=7, MONTH(B922)=8), "Summer",
  OR(MONTH(B922)=9, MONTH(B922)=10, MONTH(B922)=11), "Fall"
)</f>
        <v>Winter</v>
      </c>
    </row>
    <row r="923" spans="1:11">
      <c r="A923">
        <v>922</v>
      </c>
      <c r="B923" s="1">
        <v>45220</v>
      </c>
      <c r="C923" t="s">
        <v>935</v>
      </c>
      <c r="D923" t="s">
        <v>10</v>
      </c>
      <c r="E923" s="2">
        <v>41</v>
      </c>
      <c r="F923" t="s">
        <v>16</v>
      </c>
      <c r="G923" s="2">
        <v>1</v>
      </c>
      <c r="H923" s="3">
        <v>50</v>
      </c>
      <c r="I923" s="3">
        <v>50</v>
      </c>
      <c r="J923" s="2" t="str">
        <f t="shared" si="14"/>
        <v>35–44</v>
      </c>
      <c r="K923" t="str" cm="1">
        <f t="array" ref="K923">_xlfn.IFS(
  OR(MONTH(B923)=12, MONTH(B923)=1, MONTH(B923)=2), "Winter",
  OR(MONTH(B923)=3, MONTH(B923)=4, MONTH(B923)=5), "Spring",
  OR(MONTH(B923)=6, MONTH(B923)=7, MONTH(B923)=8), "Summer",
  OR(MONTH(B923)=9, MONTH(B923)=10, MONTH(B923)=11), "Fall"
)</f>
        <v>Fall</v>
      </c>
    </row>
    <row r="924" spans="1:11">
      <c r="A924">
        <v>923</v>
      </c>
      <c r="B924" s="1">
        <v>45072</v>
      </c>
      <c r="C924" t="s">
        <v>936</v>
      </c>
      <c r="D924" t="s">
        <v>10</v>
      </c>
      <c r="E924" s="2">
        <v>32</v>
      </c>
      <c r="F924" t="s">
        <v>11</v>
      </c>
      <c r="G924" s="2">
        <v>3</v>
      </c>
      <c r="H924" s="3">
        <v>300</v>
      </c>
      <c r="I924" s="3">
        <v>900</v>
      </c>
      <c r="J924" s="2" t="str">
        <f t="shared" si="14"/>
        <v>25–34</v>
      </c>
      <c r="K924" t="str" cm="1">
        <f t="array" ref="K924">_xlfn.IFS(
  OR(MONTH(B924)=12, MONTH(B924)=1, MONTH(B924)=2), "Winter",
  OR(MONTH(B924)=3, MONTH(B924)=4, MONTH(B924)=5), "Spring",
  OR(MONTH(B924)=6, MONTH(B924)=7, MONTH(B924)=8), "Summer",
  OR(MONTH(B924)=9, MONTH(B924)=10, MONTH(B924)=11), "Fall"
)</f>
        <v>Spring</v>
      </c>
    </row>
    <row r="925" spans="1:11">
      <c r="A925">
        <v>924</v>
      </c>
      <c r="B925" s="1">
        <v>45167</v>
      </c>
      <c r="C925" t="s">
        <v>937</v>
      </c>
      <c r="D925" t="s">
        <v>10</v>
      </c>
      <c r="E925" s="2">
        <v>55</v>
      </c>
      <c r="F925" t="s">
        <v>11</v>
      </c>
      <c r="G925" s="2">
        <v>2</v>
      </c>
      <c r="H925" s="3">
        <v>50</v>
      </c>
      <c r="I925" s="3">
        <v>100</v>
      </c>
      <c r="J925" s="2" t="str">
        <f t="shared" si="14"/>
        <v>55–64</v>
      </c>
      <c r="K925" t="str" cm="1">
        <f t="array" ref="K925">_xlfn.IFS(
  OR(MONTH(B925)=12, MONTH(B925)=1, MONTH(B925)=2), "Winter",
  OR(MONTH(B925)=3, MONTH(B925)=4, MONTH(B925)=5), "Spring",
  OR(MONTH(B925)=6, MONTH(B925)=7, MONTH(B925)=8), "Summer",
  OR(MONTH(B925)=9, MONTH(B925)=10, MONTH(B925)=11), "Fall"
)</f>
        <v>Summer</v>
      </c>
    </row>
    <row r="926" spans="1:11">
      <c r="A926">
        <v>925</v>
      </c>
      <c r="B926" s="1">
        <v>45172</v>
      </c>
      <c r="C926" t="s">
        <v>938</v>
      </c>
      <c r="D926" t="s">
        <v>10</v>
      </c>
      <c r="E926" s="2">
        <v>25</v>
      </c>
      <c r="F926" t="s">
        <v>16</v>
      </c>
      <c r="G926" s="2">
        <v>1</v>
      </c>
      <c r="H926" s="3">
        <v>300</v>
      </c>
      <c r="I926" s="3">
        <v>300</v>
      </c>
      <c r="J926" s="2" t="str">
        <f t="shared" si="14"/>
        <v>25–34</v>
      </c>
      <c r="K926" t="str" cm="1">
        <f t="array" ref="K926">_xlfn.IFS(
  OR(MONTH(B926)=12, MONTH(B926)=1, MONTH(B926)=2), "Winter",
  OR(MONTH(B926)=3, MONTH(B926)=4, MONTH(B926)=5), "Spring",
  OR(MONTH(B926)=6, MONTH(B926)=7, MONTH(B926)=8), "Summer",
  OR(MONTH(B926)=9, MONTH(B926)=10, MONTH(B926)=11), "Fall"
)</f>
        <v>Fall</v>
      </c>
    </row>
    <row r="927" spans="1:11">
      <c r="A927">
        <v>926</v>
      </c>
      <c r="B927" s="1">
        <v>45152</v>
      </c>
      <c r="C927" t="s">
        <v>939</v>
      </c>
      <c r="D927" t="s">
        <v>10</v>
      </c>
      <c r="E927" s="2">
        <v>22</v>
      </c>
      <c r="F927" t="s">
        <v>16</v>
      </c>
      <c r="G927" s="2">
        <v>1</v>
      </c>
      <c r="H927" s="3">
        <v>30</v>
      </c>
      <c r="I927" s="3">
        <v>30</v>
      </c>
      <c r="J927" s="2" t="str">
        <f t="shared" si="14"/>
        <v>18–24</v>
      </c>
      <c r="K927" t="str" cm="1">
        <f t="array" ref="K927">_xlfn.IFS(
  OR(MONTH(B927)=12, MONTH(B927)=1, MONTH(B927)=2), "Winter",
  OR(MONTH(B927)=3, MONTH(B927)=4, MONTH(B927)=5), "Spring",
  OR(MONTH(B927)=6, MONTH(B927)=7, MONTH(B927)=8), "Summer",
  OR(MONTH(B927)=9, MONTH(B927)=10, MONTH(B927)=11), "Fall"
)</f>
        <v>Summer</v>
      </c>
    </row>
    <row r="928" spans="1:11">
      <c r="A928">
        <v>927</v>
      </c>
      <c r="B928" s="1">
        <v>45101</v>
      </c>
      <c r="C928" t="s">
        <v>940</v>
      </c>
      <c r="D928" t="s">
        <v>10</v>
      </c>
      <c r="E928" s="2">
        <v>43</v>
      </c>
      <c r="F928" t="s">
        <v>16</v>
      </c>
      <c r="G928" s="2">
        <v>4</v>
      </c>
      <c r="H928" s="3">
        <v>500</v>
      </c>
      <c r="I928" s="3">
        <v>2000</v>
      </c>
      <c r="J928" s="2" t="str">
        <f t="shared" si="14"/>
        <v>35–44</v>
      </c>
      <c r="K928" t="str" cm="1">
        <f t="array" ref="K928">_xlfn.IFS(
  OR(MONTH(B928)=12, MONTH(B928)=1, MONTH(B928)=2), "Winter",
  OR(MONTH(B928)=3, MONTH(B928)=4, MONTH(B928)=5), "Spring",
  OR(MONTH(B928)=6, MONTH(B928)=7, MONTH(B928)=8), "Summer",
  OR(MONTH(B928)=9, MONTH(B928)=10, MONTH(B928)=11), "Fall"
)</f>
        <v>Summer</v>
      </c>
    </row>
    <row r="929" spans="1:11">
      <c r="A929">
        <v>928</v>
      </c>
      <c r="B929" s="1">
        <v>45021</v>
      </c>
      <c r="C929" t="s">
        <v>941</v>
      </c>
      <c r="D929" t="s">
        <v>13</v>
      </c>
      <c r="E929" s="2">
        <v>35</v>
      </c>
      <c r="F929" t="s">
        <v>14</v>
      </c>
      <c r="G929" s="2">
        <v>4</v>
      </c>
      <c r="H929" s="3">
        <v>300</v>
      </c>
      <c r="I929" s="3">
        <v>1200</v>
      </c>
      <c r="J929" s="2" t="str">
        <f t="shared" si="14"/>
        <v>35–44</v>
      </c>
      <c r="K929" t="str" cm="1">
        <f t="array" ref="K929">_xlfn.IFS(
  OR(MONTH(B929)=12, MONTH(B929)=1, MONTH(B929)=2), "Winter",
  OR(MONTH(B929)=3, MONTH(B929)=4, MONTH(B929)=5), "Spring",
  OR(MONTH(B929)=6, MONTH(B929)=7, MONTH(B929)=8), "Summer",
  OR(MONTH(B929)=9, MONTH(B929)=10, MONTH(B929)=11), "Fall"
)</f>
        <v>Spring</v>
      </c>
    </row>
    <row r="930" spans="1:11">
      <c r="A930">
        <v>929</v>
      </c>
      <c r="B930" s="1">
        <v>44953</v>
      </c>
      <c r="C930" t="s">
        <v>942</v>
      </c>
      <c r="D930" t="s">
        <v>13</v>
      </c>
      <c r="E930" s="2">
        <v>23</v>
      </c>
      <c r="F930" t="s">
        <v>11</v>
      </c>
      <c r="G930" s="2">
        <v>3</v>
      </c>
      <c r="H930" s="3">
        <v>25</v>
      </c>
      <c r="I930" s="3">
        <v>75</v>
      </c>
      <c r="J930" s="2" t="str">
        <f t="shared" si="14"/>
        <v>18–24</v>
      </c>
      <c r="K930" t="str" cm="1">
        <f t="array" ref="K930">_xlfn.IFS(
  OR(MONTH(B930)=12, MONTH(B930)=1, MONTH(B930)=2), "Winter",
  OR(MONTH(B930)=3, MONTH(B930)=4, MONTH(B930)=5), "Spring",
  OR(MONTH(B930)=6, MONTH(B930)=7, MONTH(B930)=8), "Summer",
  OR(MONTH(B930)=9, MONTH(B930)=10, MONTH(B930)=11), "Fall"
)</f>
        <v>Winter</v>
      </c>
    </row>
    <row r="931" spans="1:11">
      <c r="A931">
        <v>930</v>
      </c>
      <c r="B931" s="1">
        <v>45056</v>
      </c>
      <c r="C931" t="s">
        <v>943</v>
      </c>
      <c r="D931" t="s">
        <v>10</v>
      </c>
      <c r="E931" s="2">
        <v>54</v>
      </c>
      <c r="F931" t="s">
        <v>14</v>
      </c>
      <c r="G931" s="2">
        <v>4</v>
      </c>
      <c r="H931" s="3">
        <v>50</v>
      </c>
      <c r="I931" s="3">
        <v>200</v>
      </c>
      <c r="J931" s="2" t="str">
        <f t="shared" si="14"/>
        <v>45–54</v>
      </c>
      <c r="K931" t="str" cm="1">
        <f t="array" ref="K931">_xlfn.IFS(
  OR(MONTH(B931)=12, MONTH(B931)=1, MONTH(B931)=2), "Winter",
  OR(MONTH(B931)=3, MONTH(B931)=4, MONTH(B931)=5), "Spring",
  OR(MONTH(B931)=6, MONTH(B931)=7, MONTH(B931)=8), "Summer",
  OR(MONTH(B931)=9, MONTH(B931)=10, MONTH(B931)=11), "Fall"
)</f>
        <v>Spring</v>
      </c>
    </row>
    <row r="932" spans="1:11">
      <c r="A932">
        <v>931</v>
      </c>
      <c r="B932" s="1">
        <v>45171</v>
      </c>
      <c r="C932" t="s">
        <v>944</v>
      </c>
      <c r="D932" t="s">
        <v>10</v>
      </c>
      <c r="E932" s="2">
        <v>30</v>
      </c>
      <c r="F932" t="s">
        <v>11</v>
      </c>
      <c r="G932" s="2">
        <v>4</v>
      </c>
      <c r="H932" s="3">
        <v>30</v>
      </c>
      <c r="I932" s="3">
        <v>120</v>
      </c>
      <c r="J932" s="2" t="str">
        <f t="shared" si="14"/>
        <v>25–34</v>
      </c>
      <c r="K932" t="str" cm="1">
        <f t="array" ref="K932">_xlfn.IFS(
  OR(MONTH(B932)=12, MONTH(B932)=1, MONTH(B932)=2), "Winter",
  OR(MONTH(B932)=3, MONTH(B932)=4, MONTH(B932)=5), "Spring",
  OR(MONTH(B932)=6, MONTH(B932)=7, MONTH(B932)=8), "Summer",
  OR(MONTH(B932)=9, MONTH(B932)=10, MONTH(B932)=11), "Fall"
)</f>
        <v>Fall</v>
      </c>
    </row>
    <row r="933" spans="1:11">
      <c r="A933">
        <v>932</v>
      </c>
      <c r="B933" s="1">
        <v>44985</v>
      </c>
      <c r="C933" t="s">
        <v>945</v>
      </c>
      <c r="D933" t="s">
        <v>13</v>
      </c>
      <c r="E933" s="2">
        <v>45</v>
      </c>
      <c r="F933" t="s">
        <v>11</v>
      </c>
      <c r="G933" s="2">
        <v>4</v>
      </c>
      <c r="H933" s="3">
        <v>25</v>
      </c>
      <c r="I933" s="3">
        <v>100</v>
      </c>
      <c r="J933" s="2" t="str">
        <f t="shared" si="14"/>
        <v>45–54</v>
      </c>
      <c r="K933" t="str" cm="1">
        <f t="array" ref="K933">_xlfn.IFS(
  OR(MONTH(B933)=12, MONTH(B933)=1, MONTH(B933)=2), "Winter",
  OR(MONTH(B933)=3, MONTH(B933)=4, MONTH(B933)=5), "Spring",
  OR(MONTH(B933)=6, MONTH(B933)=7, MONTH(B933)=8), "Summer",
  OR(MONTH(B933)=9, MONTH(B933)=10, MONTH(B933)=11), "Fall"
)</f>
        <v>Winter</v>
      </c>
    </row>
    <row r="934" spans="1:11">
      <c r="A934">
        <v>933</v>
      </c>
      <c r="B934" s="1">
        <v>44960</v>
      </c>
      <c r="C934" t="s">
        <v>946</v>
      </c>
      <c r="D934" t="s">
        <v>10</v>
      </c>
      <c r="E934" s="2">
        <v>22</v>
      </c>
      <c r="F934" t="s">
        <v>11</v>
      </c>
      <c r="G934" s="2">
        <v>1</v>
      </c>
      <c r="H934" s="3">
        <v>30</v>
      </c>
      <c r="I934" s="3">
        <v>30</v>
      </c>
      <c r="J934" s="2" t="str">
        <f t="shared" si="14"/>
        <v>18–24</v>
      </c>
      <c r="K934" t="str" cm="1">
        <f t="array" ref="K934">_xlfn.IFS(
  OR(MONTH(B934)=12, MONTH(B934)=1, MONTH(B934)=2), "Winter",
  OR(MONTH(B934)=3, MONTH(B934)=4, MONTH(B934)=5), "Spring",
  OR(MONTH(B934)=6, MONTH(B934)=7, MONTH(B934)=8), "Summer",
  OR(MONTH(B934)=9, MONTH(B934)=10, MONTH(B934)=11), "Fall"
)</f>
        <v>Winter</v>
      </c>
    </row>
    <row r="935" spans="1:11">
      <c r="A935">
        <v>934</v>
      </c>
      <c r="B935" s="1">
        <v>45132</v>
      </c>
      <c r="C935" t="s">
        <v>947</v>
      </c>
      <c r="D935" t="s">
        <v>10</v>
      </c>
      <c r="E935" s="2">
        <v>30</v>
      </c>
      <c r="F935" t="s">
        <v>11</v>
      </c>
      <c r="G935" s="2">
        <v>1</v>
      </c>
      <c r="H935" s="3">
        <v>500</v>
      </c>
      <c r="I935" s="3">
        <v>500</v>
      </c>
      <c r="J935" s="2" t="str">
        <f t="shared" si="14"/>
        <v>25–34</v>
      </c>
      <c r="K935" t="str" cm="1">
        <f t="array" ref="K935">_xlfn.IFS(
  OR(MONTH(B935)=12, MONTH(B935)=1, MONTH(B935)=2), "Winter",
  OR(MONTH(B935)=3, MONTH(B935)=4, MONTH(B935)=5), "Spring",
  OR(MONTH(B935)=6, MONTH(B935)=7, MONTH(B935)=8), "Summer",
  OR(MONTH(B935)=9, MONTH(B935)=10, MONTH(B935)=11), "Fall"
)</f>
        <v>Summer</v>
      </c>
    </row>
    <row r="936" spans="1:11">
      <c r="A936">
        <v>935</v>
      </c>
      <c r="B936" s="1">
        <v>45178</v>
      </c>
      <c r="C936" t="s">
        <v>948</v>
      </c>
      <c r="D936" t="s">
        <v>13</v>
      </c>
      <c r="E936" s="2">
        <v>34</v>
      </c>
      <c r="F936" t="s">
        <v>11</v>
      </c>
      <c r="G936" s="2">
        <v>1</v>
      </c>
      <c r="H936" s="3">
        <v>50</v>
      </c>
      <c r="I936" s="3">
        <v>50</v>
      </c>
      <c r="J936" s="2" t="str">
        <f t="shared" si="14"/>
        <v>25–34</v>
      </c>
      <c r="K936" t="str" cm="1">
        <f t="array" ref="K936">_xlfn.IFS(
  OR(MONTH(B936)=12, MONTH(B936)=1, MONTH(B936)=2), "Winter",
  OR(MONTH(B936)=3, MONTH(B936)=4, MONTH(B936)=5), "Spring",
  OR(MONTH(B936)=6, MONTH(B936)=7, MONTH(B936)=8), "Summer",
  OR(MONTH(B936)=9, MONTH(B936)=10, MONTH(B936)=11), "Fall"
)</f>
        <v>Fall</v>
      </c>
    </row>
    <row r="937" spans="1:11">
      <c r="A937">
        <v>936</v>
      </c>
      <c r="B937" s="1">
        <v>44964</v>
      </c>
      <c r="C937" t="s">
        <v>949</v>
      </c>
      <c r="D937" t="s">
        <v>10</v>
      </c>
      <c r="E937" s="2">
        <v>57</v>
      </c>
      <c r="F937" t="s">
        <v>11</v>
      </c>
      <c r="G937" s="2">
        <v>4</v>
      </c>
      <c r="H937" s="3">
        <v>50</v>
      </c>
      <c r="I937" s="3">
        <v>200</v>
      </c>
      <c r="J937" s="2" t="str">
        <f t="shared" si="14"/>
        <v>55–64</v>
      </c>
      <c r="K937" t="str" cm="1">
        <f t="array" ref="K937">_xlfn.IFS(
  OR(MONTH(B937)=12, MONTH(B937)=1, MONTH(B937)=2), "Winter",
  OR(MONTH(B937)=3, MONTH(B937)=4, MONTH(B937)=5), "Spring",
  OR(MONTH(B937)=6, MONTH(B937)=7, MONTH(B937)=8), "Summer",
  OR(MONTH(B937)=9, MONTH(B937)=10, MONTH(B937)=11), "Fall"
)</f>
        <v>Winter</v>
      </c>
    </row>
    <row r="938" spans="1:11">
      <c r="A938">
        <v>937</v>
      </c>
      <c r="B938" s="1">
        <v>45222</v>
      </c>
      <c r="C938" t="s">
        <v>950</v>
      </c>
      <c r="D938" t="s">
        <v>13</v>
      </c>
      <c r="E938" s="2">
        <v>62</v>
      </c>
      <c r="F938" t="s">
        <v>11</v>
      </c>
      <c r="G938" s="2">
        <v>1</v>
      </c>
      <c r="H938" s="3">
        <v>500</v>
      </c>
      <c r="I938" s="3">
        <v>500</v>
      </c>
      <c r="J938" s="2" t="str">
        <f t="shared" si="14"/>
        <v>55–64</v>
      </c>
      <c r="K938" t="str" cm="1">
        <f t="array" ref="K938">_xlfn.IFS(
  OR(MONTH(B938)=12, MONTH(B938)=1, MONTH(B938)=2), "Winter",
  OR(MONTH(B938)=3, MONTH(B938)=4, MONTH(B938)=5), "Spring",
  OR(MONTH(B938)=6, MONTH(B938)=7, MONTH(B938)=8), "Summer",
  OR(MONTH(B938)=9, MONTH(B938)=10, MONTH(B938)=11), "Fall"
)</f>
        <v>Fall</v>
      </c>
    </row>
    <row r="939" spans="1:11">
      <c r="A939">
        <v>938</v>
      </c>
      <c r="B939" s="1">
        <v>45249</v>
      </c>
      <c r="C939" t="s">
        <v>951</v>
      </c>
      <c r="D939" t="s">
        <v>10</v>
      </c>
      <c r="E939" s="2">
        <v>49</v>
      </c>
      <c r="F939" t="s">
        <v>14</v>
      </c>
      <c r="G939" s="2">
        <v>4</v>
      </c>
      <c r="H939" s="3">
        <v>50</v>
      </c>
      <c r="I939" s="3">
        <v>200</v>
      </c>
      <c r="J939" s="2" t="str">
        <f t="shared" si="14"/>
        <v>45–54</v>
      </c>
      <c r="K939" t="str" cm="1">
        <f t="array" ref="K939">_xlfn.IFS(
  OR(MONTH(B939)=12, MONTH(B939)=1, MONTH(B939)=2), "Winter",
  OR(MONTH(B939)=3, MONTH(B939)=4, MONTH(B939)=5), "Spring",
  OR(MONTH(B939)=6, MONTH(B939)=7, MONTH(B939)=8), "Summer",
  OR(MONTH(B939)=9, MONTH(B939)=10, MONTH(B939)=11), "Fall"
)</f>
        <v>Fall</v>
      </c>
    </row>
    <row r="940" spans="1:11">
      <c r="A940">
        <v>939</v>
      </c>
      <c r="B940" s="1">
        <v>45278</v>
      </c>
      <c r="C940" t="s">
        <v>952</v>
      </c>
      <c r="D940" t="s">
        <v>13</v>
      </c>
      <c r="E940" s="2">
        <v>46</v>
      </c>
      <c r="F940" t="s">
        <v>16</v>
      </c>
      <c r="G940" s="2">
        <v>1</v>
      </c>
      <c r="H940" s="3">
        <v>300</v>
      </c>
      <c r="I940" s="3">
        <v>300</v>
      </c>
      <c r="J940" s="2" t="str">
        <f t="shared" si="14"/>
        <v>45–54</v>
      </c>
      <c r="K940" t="str" cm="1">
        <f t="array" ref="K940">_xlfn.IFS(
  OR(MONTH(B940)=12, MONTH(B940)=1, MONTH(B940)=2), "Winter",
  OR(MONTH(B940)=3, MONTH(B940)=4, MONTH(B940)=5), "Spring",
  OR(MONTH(B940)=6, MONTH(B940)=7, MONTH(B940)=8), "Summer",
  OR(MONTH(B940)=9, MONTH(B940)=10, MONTH(B940)=11), "Fall"
)</f>
        <v>Winter</v>
      </c>
    </row>
    <row r="941" spans="1:11">
      <c r="A941">
        <v>940</v>
      </c>
      <c r="B941" s="1">
        <v>44954</v>
      </c>
      <c r="C941" t="s">
        <v>953</v>
      </c>
      <c r="D941" t="s">
        <v>13</v>
      </c>
      <c r="E941" s="2">
        <v>20</v>
      </c>
      <c r="F941" t="s">
        <v>16</v>
      </c>
      <c r="G941" s="2">
        <v>1</v>
      </c>
      <c r="H941" s="3">
        <v>30</v>
      </c>
      <c r="I941" s="3">
        <v>30</v>
      </c>
      <c r="J941" s="2" t="str">
        <f t="shared" si="14"/>
        <v>18–24</v>
      </c>
      <c r="K941" t="str" cm="1">
        <f t="array" ref="K941">_xlfn.IFS(
  OR(MONTH(B941)=12, MONTH(B941)=1, MONTH(B941)=2), "Winter",
  OR(MONTH(B941)=3, MONTH(B941)=4, MONTH(B941)=5), "Spring",
  OR(MONTH(B941)=6, MONTH(B941)=7, MONTH(B941)=8), "Summer",
  OR(MONTH(B941)=9, MONTH(B941)=10, MONTH(B941)=11), "Fall"
)</f>
        <v>Winter</v>
      </c>
    </row>
    <row r="942" spans="1:11">
      <c r="A942">
        <v>941</v>
      </c>
      <c r="B942" s="1">
        <v>45004</v>
      </c>
      <c r="C942" t="s">
        <v>954</v>
      </c>
      <c r="D942" t="s">
        <v>13</v>
      </c>
      <c r="E942" s="2">
        <v>57</v>
      </c>
      <c r="F942" t="s">
        <v>14</v>
      </c>
      <c r="G942" s="2">
        <v>2</v>
      </c>
      <c r="H942" s="3">
        <v>25</v>
      </c>
      <c r="I942" s="3">
        <v>50</v>
      </c>
      <c r="J942" s="2" t="str">
        <f t="shared" si="14"/>
        <v>55–64</v>
      </c>
      <c r="K942" t="str" cm="1">
        <f t="array" ref="K942">_xlfn.IFS(
  OR(MONTH(B942)=12, MONTH(B942)=1, MONTH(B942)=2), "Winter",
  OR(MONTH(B942)=3, MONTH(B942)=4, MONTH(B942)=5), "Spring",
  OR(MONTH(B942)=6, MONTH(B942)=7, MONTH(B942)=8), "Summer",
  OR(MONTH(B942)=9, MONTH(B942)=10, MONTH(B942)=11), "Fall"
)</f>
        <v>Spring</v>
      </c>
    </row>
    <row r="943" spans="1:11">
      <c r="A943">
        <v>942</v>
      </c>
      <c r="B943" s="1">
        <v>45003</v>
      </c>
      <c r="C943" t="s">
        <v>955</v>
      </c>
      <c r="D943" t="s">
        <v>10</v>
      </c>
      <c r="E943" s="2">
        <v>51</v>
      </c>
      <c r="F943" t="s">
        <v>14</v>
      </c>
      <c r="G943" s="2">
        <v>3</v>
      </c>
      <c r="H943" s="3">
        <v>500</v>
      </c>
      <c r="I943" s="3">
        <v>1500</v>
      </c>
      <c r="J943" s="2" t="str">
        <f t="shared" si="14"/>
        <v>45–54</v>
      </c>
      <c r="K943" t="str" cm="1">
        <f t="array" ref="K943">_xlfn.IFS(
  OR(MONTH(B943)=12, MONTH(B943)=1, MONTH(B943)=2), "Winter",
  OR(MONTH(B943)=3, MONTH(B943)=4, MONTH(B943)=5), "Spring",
  OR(MONTH(B943)=6, MONTH(B943)=7, MONTH(B943)=8), "Summer",
  OR(MONTH(B943)=9, MONTH(B943)=10, MONTH(B943)=11), "Fall"
)</f>
        <v>Spring</v>
      </c>
    </row>
    <row r="944" spans="1:11">
      <c r="A944">
        <v>943</v>
      </c>
      <c r="B944" s="1">
        <v>45215</v>
      </c>
      <c r="C944" t="s">
        <v>956</v>
      </c>
      <c r="D944" t="s">
        <v>13</v>
      </c>
      <c r="E944" s="2">
        <v>57</v>
      </c>
      <c r="F944" t="s">
        <v>14</v>
      </c>
      <c r="G944" s="2">
        <v>4</v>
      </c>
      <c r="H944" s="3">
        <v>300</v>
      </c>
      <c r="I944" s="3">
        <v>1200</v>
      </c>
      <c r="J944" s="2" t="str">
        <f t="shared" si="14"/>
        <v>55–64</v>
      </c>
      <c r="K944" t="str" cm="1">
        <f t="array" ref="K944">_xlfn.IFS(
  OR(MONTH(B944)=12, MONTH(B944)=1, MONTH(B944)=2), "Winter",
  OR(MONTH(B944)=3, MONTH(B944)=4, MONTH(B944)=5), "Spring",
  OR(MONTH(B944)=6, MONTH(B944)=7, MONTH(B944)=8), "Summer",
  OR(MONTH(B944)=9, MONTH(B944)=10, MONTH(B944)=11), "Fall"
)</f>
        <v>Fall</v>
      </c>
    </row>
    <row r="945" spans="1:11">
      <c r="A945">
        <v>944</v>
      </c>
      <c r="B945" s="1">
        <v>45082</v>
      </c>
      <c r="C945" t="s">
        <v>957</v>
      </c>
      <c r="D945" t="s">
        <v>10</v>
      </c>
      <c r="E945" s="2">
        <v>44</v>
      </c>
      <c r="F945" t="s">
        <v>14</v>
      </c>
      <c r="G945" s="2">
        <v>2</v>
      </c>
      <c r="H945" s="3">
        <v>25</v>
      </c>
      <c r="I945" s="3">
        <v>50</v>
      </c>
      <c r="J945" s="2" t="str">
        <f t="shared" si="14"/>
        <v>35–44</v>
      </c>
      <c r="K945" t="str" cm="1">
        <f t="array" ref="K945">_xlfn.IFS(
  OR(MONTH(B945)=12, MONTH(B945)=1, MONTH(B945)=2), "Winter",
  OR(MONTH(B945)=3, MONTH(B945)=4, MONTH(B945)=5), "Spring",
  OR(MONTH(B945)=6, MONTH(B945)=7, MONTH(B945)=8), "Summer",
  OR(MONTH(B945)=9, MONTH(B945)=10, MONTH(B945)=11), "Fall"
)</f>
        <v>Summer</v>
      </c>
    </row>
    <row r="946" spans="1:11">
      <c r="A946">
        <v>945</v>
      </c>
      <c r="B946" s="1">
        <v>44970</v>
      </c>
      <c r="C946" t="s">
        <v>958</v>
      </c>
      <c r="D946" t="s">
        <v>10</v>
      </c>
      <c r="E946" s="2">
        <v>30</v>
      </c>
      <c r="F946" t="s">
        <v>11</v>
      </c>
      <c r="G946" s="2">
        <v>1</v>
      </c>
      <c r="H946" s="3">
        <v>25</v>
      </c>
      <c r="I946" s="3">
        <v>25</v>
      </c>
      <c r="J946" s="2" t="str">
        <f t="shared" si="14"/>
        <v>25–34</v>
      </c>
      <c r="K946" t="str" cm="1">
        <f t="array" ref="K946">_xlfn.IFS(
  OR(MONTH(B946)=12, MONTH(B946)=1, MONTH(B946)=2), "Winter",
  OR(MONTH(B946)=3, MONTH(B946)=4, MONTH(B946)=5), "Spring",
  OR(MONTH(B946)=6, MONTH(B946)=7, MONTH(B946)=8), "Summer",
  OR(MONTH(B946)=9, MONTH(B946)=10, MONTH(B946)=11), "Fall"
)</f>
        <v>Winter</v>
      </c>
    </row>
    <row r="947" spans="1:11">
      <c r="A947">
        <v>946</v>
      </c>
      <c r="B947" s="1">
        <v>45054</v>
      </c>
      <c r="C947" t="s">
        <v>959</v>
      </c>
      <c r="D947" t="s">
        <v>10</v>
      </c>
      <c r="E947" s="2">
        <v>62</v>
      </c>
      <c r="F947" t="s">
        <v>16</v>
      </c>
      <c r="G947" s="2">
        <v>4</v>
      </c>
      <c r="H947" s="3">
        <v>500</v>
      </c>
      <c r="I947" s="3">
        <v>2000</v>
      </c>
      <c r="J947" s="2" t="str">
        <f t="shared" si="14"/>
        <v>55–64</v>
      </c>
      <c r="K947" t="str" cm="1">
        <f t="array" ref="K947">_xlfn.IFS(
  OR(MONTH(B947)=12, MONTH(B947)=1, MONTH(B947)=2), "Winter",
  OR(MONTH(B947)=3, MONTH(B947)=4, MONTH(B947)=5), "Spring",
  OR(MONTH(B947)=6, MONTH(B947)=7, MONTH(B947)=8), "Summer",
  OR(MONTH(B947)=9, MONTH(B947)=10, MONTH(B947)=11), "Fall"
)</f>
        <v>Spring</v>
      </c>
    </row>
    <row r="948" spans="1:11">
      <c r="A948">
        <v>947</v>
      </c>
      <c r="B948" s="1">
        <v>44987</v>
      </c>
      <c r="C948" t="s">
        <v>960</v>
      </c>
      <c r="D948" t="s">
        <v>10</v>
      </c>
      <c r="E948" s="2">
        <v>50</v>
      </c>
      <c r="F948" t="s">
        <v>11</v>
      </c>
      <c r="G948" s="2">
        <v>1</v>
      </c>
      <c r="H948" s="3">
        <v>300</v>
      </c>
      <c r="I948" s="3">
        <v>300</v>
      </c>
      <c r="J948" s="2" t="str">
        <f t="shared" si="14"/>
        <v>45–54</v>
      </c>
      <c r="K948" t="str" cm="1">
        <f t="array" ref="K948">_xlfn.IFS(
  OR(MONTH(B948)=12, MONTH(B948)=1, MONTH(B948)=2), "Winter",
  OR(MONTH(B948)=3, MONTH(B948)=4, MONTH(B948)=5), "Spring",
  OR(MONTH(B948)=6, MONTH(B948)=7, MONTH(B948)=8), "Summer",
  OR(MONTH(B948)=9, MONTH(B948)=10, MONTH(B948)=11), "Fall"
)</f>
        <v>Spring</v>
      </c>
    </row>
    <row r="949" spans="1:11">
      <c r="A949">
        <v>948</v>
      </c>
      <c r="B949" s="1">
        <v>45212</v>
      </c>
      <c r="C949" t="s">
        <v>961</v>
      </c>
      <c r="D949" t="s">
        <v>13</v>
      </c>
      <c r="E949" s="2">
        <v>23</v>
      </c>
      <c r="F949" t="s">
        <v>16</v>
      </c>
      <c r="G949" s="2">
        <v>3</v>
      </c>
      <c r="H949" s="3">
        <v>25</v>
      </c>
      <c r="I949" s="3">
        <v>75</v>
      </c>
      <c r="J949" s="2" t="str">
        <f t="shared" si="14"/>
        <v>18–24</v>
      </c>
      <c r="K949" t="str" cm="1">
        <f t="array" ref="K949">_xlfn.IFS(
  OR(MONTH(B949)=12, MONTH(B949)=1, MONTH(B949)=2), "Winter",
  OR(MONTH(B949)=3, MONTH(B949)=4, MONTH(B949)=5), "Spring",
  OR(MONTH(B949)=6, MONTH(B949)=7, MONTH(B949)=8), "Summer",
  OR(MONTH(B949)=9, MONTH(B949)=10, MONTH(B949)=11), "Fall"
)</f>
        <v>Fall</v>
      </c>
    </row>
    <row r="950" spans="1:11">
      <c r="A950">
        <v>949</v>
      </c>
      <c r="B950" s="1">
        <v>45140</v>
      </c>
      <c r="C950" t="s">
        <v>962</v>
      </c>
      <c r="D950" t="s">
        <v>13</v>
      </c>
      <c r="E950" s="2">
        <v>41</v>
      </c>
      <c r="F950" t="s">
        <v>16</v>
      </c>
      <c r="G950" s="2">
        <v>2</v>
      </c>
      <c r="H950" s="3">
        <v>25</v>
      </c>
      <c r="I950" s="3">
        <v>50</v>
      </c>
      <c r="J950" s="2" t="str">
        <f t="shared" si="14"/>
        <v>35–44</v>
      </c>
      <c r="K950" t="str" cm="1">
        <f t="array" ref="K950">_xlfn.IFS(
  OR(MONTH(B950)=12, MONTH(B950)=1, MONTH(B950)=2), "Winter",
  OR(MONTH(B950)=3, MONTH(B950)=4, MONTH(B950)=5), "Spring",
  OR(MONTH(B950)=6, MONTH(B950)=7, MONTH(B950)=8), "Summer",
  OR(MONTH(B950)=9, MONTH(B950)=10, MONTH(B950)=11), "Fall"
)</f>
        <v>Summer</v>
      </c>
    </row>
    <row r="951" spans="1:11">
      <c r="A951">
        <v>950</v>
      </c>
      <c r="B951" s="1">
        <v>45237</v>
      </c>
      <c r="C951" t="s">
        <v>963</v>
      </c>
      <c r="D951" t="s">
        <v>10</v>
      </c>
      <c r="E951" s="2">
        <v>36</v>
      </c>
      <c r="F951" t="s">
        <v>14</v>
      </c>
      <c r="G951" s="2">
        <v>3</v>
      </c>
      <c r="H951" s="3">
        <v>300</v>
      </c>
      <c r="I951" s="3">
        <v>900</v>
      </c>
      <c r="J951" s="2" t="str">
        <f t="shared" si="14"/>
        <v>35–44</v>
      </c>
      <c r="K951" t="str" cm="1">
        <f t="array" ref="K951">_xlfn.IFS(
  OR(MONTH(B951)=12, MONTH(B951)=1, MONTH(B951)=2), "Winter",
  OR(MONTH(B951)=3, MONTH(B951)=4, MONTH(B951)=5), "Spring",
  OR(MONTH(B951)=6, MONTH(B951)=7, MONTH(B951)=8), "Summer",
  OR(MONTH(B951)=9, MONTH(B951)=10, MONTH(B951)=11), "Fall"
)</f>
        <v>Fall</v>
      </c>
    </row>
    <row r="952" spans="1:11">
      <c r="A952">
        <v>951</v>
      </c>
      <c r="B952" s="1">
        <v>45232</v>
      </c>
      <c r="C952" t="s">
        <v>964</v>
      </c>
      <c r="D952" t="s">
        <v>10</v>
      </c>
      <c r="E952" s="2">
        <v>33</v>
      </c>
      <c r="F952" t="s">
        <v>11</v>
      </c>
      <c r="G952" s="2">
        <v>2</v>
      </c>
      <c r="H952" s="3">
        <v>50</v>
      </c>
      <c r="I952" s="3">
        <v>100</v>
      </c>
      <c r="J952" s="2" t="str">
        <f t="shared" si="14"/>
        <v>25–34</v>
      </c>
      <c r="K952" t="str" cm="1">
        <f t="array" ref="K952">_xlfn.IFS(
  OR(MONTH(B952)=12, MONTH(B952)=1, MONTH(B952)=2), "Winter",
  OR(MONTH(B952)=3, MONTH(B952)=4, MONTH(B952)=5), "Spring",
  OR(MONTH(B952)=6, MONTH(B952)=7, MONTH(B952)=8), "Summer",
  OR(MONTH(B952)=9, MONTH(B952)=10, MONTH(B952)=11), "Fall"
)</f>
        <v>Fall</v>
      </c>
    </row>
    <row r="953" spans="1:11">
      <c r="A953">
        <v>952</v>
      </c>
      <c r="B953" s="1">
        <v>45243</v>
      </c>
      <c r="C953" t="s">
        <v>965</v>
      </c>
      <c r="D953" t="s">
        <v>13</v>
      </c>
      <c r="E953" s="2">
        <v>57</v>
      </c>
      <c r="F953" t="s">
        <v>14</v>
      </c>
      <c r="G953" s="2">
        <v>1</v>
      </c>
      <c r="H953" s="3">
        <v>25</v>
      </c>
      <c r="I953" s="3">
        <v>25</v>
      </c>
      <c r="J953" s="2" t="str">
        <f t="shared" si="14"/>
        <v>55–64</v>
      </c>
      <c r="K953" t="str" cm="1">
        <f t="array" ref="K953">_xlfn.IFS(
  OR(MONTH(B953)=12, MONTH(B953)=1, MONTH(B953)=2), "Winter",
  OR(MONTH(B953)=3, MONTH(B953)=4, MONTH(B953)=5), "Spring",
  OR(MONTH(B953)=6, MONTH(B953)=7, MONTH(B953)=8), "Summer",
  OR(MONTH(B953)=9, MONTH(B953)=10, MONTH(B953)=11), "Fall"
)</f>
        <v>Fall</v>
      </c>
    </row>
    <row r="954" spans="1:11">
      <c r="A954">
        <v>953</v>
      </c>
      <c r="B954" s="1">
        <v>45042</v>
      </c>
      <c r="C954" t="s">
        <v>966</v>
      </c>
      <c r="D954" t="s">
        <v>10</v>
      </c>
      <c r="E954" s="2">
        <v>45</v>
      </c>
      <c r="F954" t="s">
        <v>11</v>
      </c>
      <c r="G954" s="2">
        <v>3</v>
      </c>
      <c r="H954" s="3">
        <v>30</v>
      </c>
      <c r="I954" s="3">
        <v>90</v>
      </c>
      <c r="J954" s="2" t="str">
        <f t="shared" si="14"/>
        <v>45–54</v>
      </c>
      <c r="K954" t="str" cm="1">
        <f t="array" ref="K954">_xlfn.IFS(
  OR(MONTH(B954)=12, MONTH(B954)=1, MONTH(B954)=2), "Winter",
  OR(MONTH(B954)=3, MONTH(B954)=4, MONTH(B954)=5), "Spring",
  OR(MONTH(B954)=6, MONTH(B954)=7, MONTH(B954)=8), "Summer",
  OR(MONTH(B954)=9, MONTH(B954)=10, MONTH(B954)=11), "Fall"
)</f>
        <v>Spring</v>
      </c>
    </row>
    <row r="955" spans="1:11">
      <c r="A955">
        <v>954</v>
      </c>
      <c r="B955" s="1">
        <v>45194</v>
      </c>
      <c r="C955" t="s">
        <v>967</v>
      </c>
      <c r="D955" t="s">
        <v>13</v>
      </c>
      <c r="E955" s="2">
        <v>50</v>
      </c>
      <c r="F955" t="s">
        <v>16</v>
      </c>
      <c r="G955" s="2">
        <v>3</v>
      </c>
      <c r="H955" s="3">
        <v>300</v>
      </c>
      <c r="I955" s="3">
        <v>900</v>
      </c>
      <c r="J955" s="2" t="str">
        <f t="shared" si="14"/>
        <v>45–54</v>
      </c>
      <c r="K955" t="str" cm="1">
        <f t="array" ref="K955">_xlfn.IFS(
  OR(MONTH(B955)=12, MONTH(B955)=1, MONTH(B955)=2), "Winter",
  OR(MONTH(B955)=3, MONTH(B955)=4, MONTH(B955)=5), "Spring",
  OR(MONTH(B955)=6, MONTH(B955)=7, MONTH(B955)=8), "Summer",
  OR(MONTH(B955)=9, MONTH(B955)=10, MONTH(B955)=11), "Fall"
)</f>
        <v>Fall</v>
      </c>
    </row>
    <row r="956" spans="1:11">
      <c r="A956">
        <v>955</v>
      </c>
      <c r="B956" s="1">
        <v>45121</v>
      </c>
      <c r="C956" t="s">
        <v>968</v>
      </c>
      <c r="D956" t="s">
        <v>10</v>
      </c>
      <c r="E956" s="2">
        <v>58</v>
      </c>
      <c r="F956" t="s">
        <v>14</v>
      </c>
      <c r="G956" s="2">
        <v>1</v>
      </c>
      <c r="H956" s="3">
        <v>25</v>
      </c>
      <c r="I956" s="3">
        <v>25</v>
      </c>
      <c r="J956" s="2" t="str">
        <f t="shared" si="14"/>
        <v>55–64</v>
      </c>
      <c r="K956" t="str" cm="1">
        <f t="array" ref="K956">_xlfn.IFS(
  OR(MONTH(B956)=12, MONTH(B956)=1, MONTH(B956)=2), "Winter",
  OR(MONTH(B956)=3, MONTH(B956)=4, MONTH(B956)=5), "Spring",
  OR(MONTH(B956)=6, MONTH(B956)=7, MONTH(B956)=8), "Summer",
  OR(MONTH(B956)=9, MONTH(B956)=10, MONTH(B956)=11), "Fall"
)</f>
        <v>Summer</v>
      </c>
    </row>
    <row r="957" spans="1:11">
      <c r="A957">
        <v>956</v>
      </c>
      <c r="B957" s="1">
        <v>45157</v>
      </c>
      <c r="C957" t="s">
        <v>969</v>
      </c>
      <c r="D957" t="s">
        <v>10</v>
      </c>
      <c r="E957" s="2">
        <v>30</v>
      </c>
      <c r="F957" t="s">
        <v>14</v>
      </c>
      <c r="G957" s="2">
        <v>3</v>
      </c>
      <c r="H957" s="3">
        <v>500</v>
      </c>
      <c r="I957" s="3">
        <v>1500</v>
      </c>
      <c r="J957" s="2" t="str">
        <f t="shared" si="14"/>
        <v>25–34</v>
      </c>
      <c r="K957" t="str" cm="1">
        <f t="array" ref="K957">_xlfn.IFS(
  OR(MONTH(B957)=12, MONTH(B957)=1, MONTH(B957)=2), "Winter",
  OR(MONTH(B957)=3, MONTH(B957)=4, MONTH(B957)=5), "Spring",
  OR(MONTH(B957)=6, MONTH(B957)=7, MONTH(B957)=8), "Summer",
  OR(MONTH(B957)=9, MONTH(B957)=10, MONTH(B957)=11), "Fall"
)</f>
        <v>Summer</v>
      </c>
    </row>
    <row r="958" spans="1:11">
      <c r="A958">
        <v>957</v>
      </c>
      <c r="B958" s="1">
        <v>45153</v>
      </c>
      <c r="C958" t="s">
        <v>970</v>
      </c>
      <c r="D958" t="s">
        <v>13</v>
      </c>
      <c r="E958" s="2">
        <v>60</v>
      </c>
      <c r="F958" t="s">
        <v>16</v>
      </c>
      <c r="G958" s="2">
        <v>4</v>
      </c>
      <c r="H958" s="3">
        <v>30</v>
      </c>
      <c r="I958" s="3">
        <v>120</v>
      </c>
      <c r="J958" s="2" t="str">
        <f t="shared" si="14"/>
        <v>55–64</v>
      </c>
      <c r="K958" t="str" cm="1">
        <f t="array" ref="K958">_xlfn.IFS(
  OR(MONTH(B958)=12, MONTH(B958)=1, MONTH(B958)=2), "Winter",
  OR(MONTH(B958)=3, MONTH(B958)=4, MONTH(B958)=5), "Spring",
  OR(MONTH(B958)=6, MONTH(B958)=7, MONTH(B958)=8), "Summer",
  OR(MONTH(B958)=9, MONTH(B958)=10, MONTH(B958)=11), "Fall"
)</f>
        <v>Summer</v>
      </c>
    </row>
    <row r="959" spans="1:11">
      <c r="A959">
        <v>958</v>
      </c>
      <c r="B959" s="1">
        <v>45079</v>
      </c>
      <c r="C959" t="s">
        <v>971</v>
      </c>
      <c r="D959" t="s">
        <v>10</v>
      </c>
      <c r="E959" s="2">
        <v>62</v>
      </c>
      <c r="F959" t="s">
        <v>16</v>
      </c>
      <c r="G959" s="2">
        <v>2</v>
      </c>
      <c r="H959" s="3">
        <v>25</v>
      </c>
      <c r="I959" s="3">
        <v>50</v>
      </c>
      <c r="J959" s="2" t="str">
        <f t="shared" si="14"/>
        <v>55–64</v>
      </c>
      <c r="K959" t="str" cm="1">
        <f t="array" ref="K959">_xlfn.IFS(
  OR(MONTH(B959)=12, MONTH(B959)=1, MONTH(B959)=2), "Winter",
  OR(MONTH(B959)=3, MONTH(B959)=4, MONTH(B959)=5), "Spring",
  OR(MONTH(B959)=6, MONTH(B959)=7, MONTH(B959)=8), "Summer",
  OR(MONTH(B959)=9, MONTH(B959)=10, MONTH(B959)=11), "Fall"
)</f>
        <v>Summer</v>
      </c>
    </row>
    <row r="960" spans="1:11">
      <c r="A960">
        <v>959</v>
      </c>
      <c r="B960" s="1">
        <v>45228</v>
      </c>
      <c r="C960" t="s">
        <v>972</v>
      </c>
      <c r="D960" t="s">
        <v>13</v>
      </c>
      <c r="E960" s="2">
        <v>42</v>
      </c>
      <c r="F960" t="s">
        <v>16</v>
      </c>
      <c r="G960" s="2">
        <v>2</v>
      </c>
      <c r="H960" s="3">
        <v>30</v>
      </c>
      <c r="I960" s="3">
        <v>60</v>
      </c>
      <c r="J960" s="2" t="str">
        <f t="shared" si="14"/>
        <v>35–44</v>
      </c>
      <c r="K960" t="str" cm="1">
        <f t="array" ref="K960">_xlfn.IFS(
  OR(MONTH(B960)=12, MONTH(B960)=1, MONTH(B960)=2), "Winter",
  OR(MONTH(B960)=3, MONTH(B960)=4, MONTH(B960)=5), "Spring",
  OR(MONTH(B960)=6, MONTH(B960)=7, MONTH(B960)=8), "Summer",
  OR(MONTH(B960)=9, MONTH(B960)=10, MONTH(B960)=11), "Fall"
)</f>
        <v>Fall</v>
      </c>
    </row>
    <row r="961" spans="1:11">
      <c r="A961">
        <v>960</v>
      </c>
      <c r="B961" s="1">
        <v>45146</v>
      </c>
      <c r="C961" t="s">
        <v>973</v>
      </c>
      <c r="D961" t="s">
        <v>10</v>
      </c>
      <c r="E961" s="2">
        <v>59</v>
      </c>
      <c r="F961" t="s">
        <v>14</v>
      </c>
      <c r="G961" s="2">
        <v>2</v>
      </c>
      <c r="H961" s="3">
        <v>30</v>
      </c>
      <c r="I961" s="3">
        <v>60</v>
      </c>
      <c r="J961" s="2" t="str">
        <f t="shared" si="14"/>
        <v>55–64</v>
      </c>
      <c r="K961" t="str" cm="1">
        <f t="array" ref="K961">_xlfn.IFS(
  OR(MONTH(B961)=12, MONTH(B961)=1, MONTH(B961)=2), "Winter",
  OR(MONTH(B961)=3, MONTH(B961)=4, MONTH(B961)=5), "Spring",
  OR(MONTH(B961)=6, MONTH(B961)=7, MONTH(B961)=8), "Summer",
  OR(MONTH(B961)=9, MONTH(B961)=10, MONTH(B961)=11), "Fall"
)</f>
        <v>Summer</v>
      </c>
    </row>
    <row r="962" spans="1:11">
      <c r="A962">
        <v>961</v>
      </c>
      <c r="B962" s="1">
        <v>45083</v>
      </c>
      <c r="C962" t="s">
        <v>974</v>
      </c>
      <c r="D962" t="s">
        <v>10</v>
      </c>
      <c r="E962" s="2">
        <v>53</v>
      </c>
      <c r="F962" t="s">
        <v>11</v>
      </c>
      <c r="G962" s="2">
        <v>4</v>
      </c>
      <c r="H962" s="3">
        <v>50</v>
      </c>
      <c r="I962" s="3">
        <v>200</v>
      </c>
      <c r="J962" s="2" t="str">
        <f t="shared" ref="J962:J1001" si="15">IF(AND(E962&gt;=18, E962&lt;=24), "18–24",
 IF(AND(E962&gt;=25, E962&lt;=34), "25–34",
 IF(AND(E962&gt;=35, E962&lt;=44), "35–44",
 IF(AND(E962&gt;=45, E962&lt;=54), "45–54",
 IF(AND(E962&gt;=55, E962&lt;=64), "55–64", "Other")))))</f>
        <v>45–54</v>
      </c>
      <c r="K962" t="str" cm="1">
        <f t="array" ref="K962">_xlfn.IFS(
  OR(MONTH(B962)=12, MONTH(B962)=1, MONTH(B962)=2), "Winter",
  OR(MONTH(B962)=3, MONTH(B962)=4, MONTH(B962)=5), "Spring",
  OR(MONTH(B962)=6, MONTH(B962)=7, MONTH(B962)=8), "Summer",
  OR(MONTH(B962)=9, MONTH(B962)=10, MONTH(B962)=11), "Fall"
)</f>
        <v>Summer</v>
      </c>
    </row>
    <row r="963" spans="1:11">
      <c r="A963">
        <v>962</v>
      </c>
      <c r="B963" s="1">
        <v>45218</v>
      </c>
      <c r="C963" t="s">
        <v>975</v>
      </c>
      <c r="D963" t="s">
        <v>10</v>
      </c>
      <c r="E963" s="2">
        <v>44</v>
      </c>
      <c r="F963" t="s">
        <v>14</v>
      </c>
      <c r="G963" s="2">
        <v>2</v>
      </c>
      <c r="H963" s="3">
        <v>30</v>
      </c>
      <c r="I963" s="3">
        <v>60</v>
      </c>
      <c r="J963" s="2" t="str">
        <f t="shared" si="15"/>
        <v>35–44</v>
      </c>
      <c r="K963" t="str" cm="1">
        <f t="array" ref="K963">_xlfn.IFS(
  OR(MONTH(B963)=12, MONTH(B963)=1, MONTH(B963)=2), "Winter",
  OR(MONTH(B963)=3, MONTH(B963)=4, MONTH(B963)=5), "Spring",
  OR(MONTH(B963)=6, MONTH(B963)=7, MONTH(B963)=8), "Summer",
  OR(MONTH(B963)=9, MONTH(B963)=10, MONTH(B963)=11), "Fall"
)</f>
        <v>Fall</v>
      </c>
    </row>
    <row r="964" spans="1:11">
      <c r="A964">
        <v>963</v>
      </c>
      <c r="B964" s="1">
        <v>45244</v>
      </c>
      <c r="C964" t="s">
        <v>976</v>
      </c>
      <c r="D964" t="s">
        <v>13</v>
      </c>
      <c r="E964" s="2">
        <v>55</v>
      </c>
      <c r="F964" t="s">
        <v>11</v>
      </c>
      <c r="G964" s="2">
        <v>1</v>
      </c>
      <c r="H964" s="3">
        <v>50</v>
      </c>
      <c r="I964" s="3">
        <v>50</v>
      </c>
      <c r="J964" s="2" t="str">
        <f t="shared" si="15"/>
        <v>55–64</v>
      </c>
      <c r="K964" t="str" cm="1">
        <f t="array" ref="K964">_xlfn.IFS(
  OR(MONTH(B964)=12, MONTH(B964)=1, MONTH(B964)=2), "Winter",
  OR(MONTH(B964)=3, MONTH(B964)=4, MONTH(B964)=5), "Spring",
  OR(MONTH(B964)=6, MONTH(B964)=7, MONTH(B964)=8), "Summer",
  OR(MONTH(B964)=9, MONTH(B964)=10, MONTH(B964)=11), "Fall"
)</f>
        <v>Fall</v>
      </c>
    </row>
    <row r="965" spans="1:11">
      <c r="A965">
        <v>964</v>
      </c>
      <c r="B965" s="1">
        <v>44957</v>
      </c>
      <c r="C965" t="s">
        <v>977</v>
      </c>
      <c r="D965" t="s">
        <v>10</v>
      </c>
      <c r="E965" s="2">
        <v>24</v>
      </c>
      <c r="F965" t="s">
        <v>14</v>
      </c>
      <c r="G965" s="2">
        <v>3</v>
      </c>
      <c r="H965" s="3">
        <v>300</v>
      </c>
      <c r="I965" s="3">
        <v>900</v>
      </c>
      <c r="J965" s="2" t="str">
        <f t="shared" si="15"/>
        <v>18–24</v>
      </c>
      <c r="K965" t="str" cm="1">
        <f t="array" ref="K965">_xlfn.IFS(
  OR(MONTH(B965)=12, MONTH(B965)=1, MONTH(B965)=2), "Winter",
  OR(MONTH(B965)=3, MONTH(B965)=4, MONTH(B965)=5), "Spring",
  OR(MONTH(B965)=6, MONTH(B965)=7, MONTH(B965)=8), "Summer",
  OR(MONTH(B965)=9, MONTH(B965)=10, MONTH(B965)=11), "Fall"
)</f>
        <v>Winter</v>
      </c>
    </row>
    <row r="966" spans="1:11">
      <c r="A966">
        <v>965</v>
      </c>
      <c r="B966" s="1">
        <v>45239</v>
      </c>
      <c r="C966" t="s">
        <v>978</v>
      </c>
      <c r="D966" t="s">
        <v>10</v>
      </c>
      <c r="E966" s="2">
        <v>22</v>
      </c>
      <c r="F966" t="s">
        <v>14</v>
      </c>
      <c r="G966" s="2">
        <v>4</v>
      </c>
      <c r="H966" s="3">
        <v>50</v>
      </c>
      <c r="I966" s="3">
        <v>200</v>
      </c>
      <c r="J966" s="2" t="str">
        <f t="shared" si="15"/>
        <v>18–24</v>
      </c>
      <c r="K966" t="str" cm="1">
        <f t="array" ref="K966">_xlfn.IFS(
  OR(MONTH(B966)=12, MONTH(B966)=1, MONTH(B966)=2), "Winter",
  OR(MONTH(B966)=3, MONTH(B966)=4, MONTH(B966)=5), "Spring",
  OR(MONTH(B966)=6, MONTH(B966)=7, MONTH(B966)=8), "Summer",
  OR(MONTH(B966)=9, MONTH(B966)=10, MONTH(B966)=11), "Fall"
)</f>
        <v>Fall</v>
      </c>
    </row>
    <row r="967" spans="1:11">
      <c r="A967">
        <v>966</v>
      </c>
      <c r="B967" s="1">
        <v>44977</v>
      </c>
      <c r="C967" t="s">
        <v>979</v>
      </c>
      <c r="D967" t="s">
        <v>10</v>
      </c>
      <c r="E967" s="2">
        <v>60</v>
      </c>
      <c r="F967" t="s">
        <v>16</v>
      </c>
      <c r="G967" s="2">
        <v>2</v>
      </c>
      <c r="H967" s="3">
        <v>500</v>
      </c>
      <c r="I967" s="3">
        <v>1000</v>
      </c>
      <c r="J967" s="2" t="str">
        <f t="shared" si="15"/>
        <v>55–64</v>
      </c>
      <c r="K967" t="str" cm="1">
        <f t="array" ref="K967">_xlfn.IFS(
  OR(MONTH(B967)=12, MONTH(B967)=1, MONTH(B967)=2), "Winter",
  OR(MONTH(B967)=3, MONTH(B967)=4, MONTH(B967)=5), "Spring",
  OR(MONTH(B967)=6, MONTH(B967)=7, MONTH(B967)=8), "Summer",
  OR(MONTH(B967)=9, MONTH(B967)=10, MONTH(B967)=11), "Fall"
)</f>
        <v>Winter</v>
      </c>
    </row>
    <row r="968" spans="1:11">
      <c r="A968">
        <v>967</v>
      </c>
      <c r="B968" s="1">
        <v>45033</v>
      </c>
      <c r="C968" t="s">
        <v>980</v>
      </c>
      <c r="D968" t="s">
        <v>10</v>
      </c>
      <c r="E968" s="2">
        <v>62</v>
      </c>
      <c r="F968" t="s">
        <v>11</v>
      </c>
      <c r="G968" s="2">
        <v>1</v>
      </c>
      <c r="H968" s="3">
        <v>25</v>
      </c>
      <c r="I968" s="3">
        <v>25</v>
      </c>
      <c r="J968" s="2" t="str">
        <f t="shared" si="15"/>
        <v>55–64</v>
      </c>
      <c r="K968" t="str" cm="1">
        <f t="array" ref="K968">_xlfn.IFS(
  OR(MONTH(B968)=12, MONTH(B968)=1, MONTH(B968)=2), "Winter",
  OR(MONTH(B968)=3, MONTH(B968)=4, MONTH(B968)=5), "Spring",
  OR(MONTH(B968)=6, MONTH(B968)=7, MONTH(B968)=8), "Summer",
  OR(MONTH(B968)=9, MONTH(B968)=10, MONTH(B968)=11), "Fall"
)</f>
        <v>Spring</v>
      </c>
    </row>
    <row r="969" spans="1:11">
      <c r="A969">
        <v>968</v>
      </c>
      <c r="B969" s="1">
        <v>45247</v>
      </c>
      <c r="C969" t="s">
        <v>981</v>
      </c>
      <c r="D969" t="s">
        <v>13</v>
      </c>
      <c r="E969" s="2">
        <v>48</v>
      </c>
      <c r="F969" t="s">
        <v>14</v>
      </c>
      <c r="G969" s="2">
        <v>3</v>
      </c>
      <c r="H969" s="3">
        <v>300</v>
      </c>
      <c r="I969" s="3">
        <v>900</v>
      </c>
      <c r="J969" s="2" t="str">
        <f t="shared" si="15"/>
        <v>45–54</v>
      </c>
      <c r="K969" t="str" cm="1">
        <f t="array" ref="K969">_xlfn.IFS(
  OR(MONTH(B969)=12, MONTH(B969)=1, MONTH(B969)=2), "Winter",
  OR(MONTH(B969)=3, MONTH(B969)=4, MONTH(B969)=5), "Spring",
  OR(MONTH(B969)=6, MONTH(B969)=7, MONTH(B969)=8), "Summer",
  OR(MONTH(B969)=9, MONTH(B969)=10, MONTH(B969)=11), "Fall"
)</f>
        <v>Fall</v>
      </c>
    </row>
    <row r="970" spans="1:11">
      <c r="A970">
        <v>969</v>
      </c>
      <c r="B970" s="1">
        <v>45035</v>
      </c>
      <c r="C970" t="s">
        <v>982</v>
      </c>
      <c r="D970" t="s">
        <v>13</v>
      </c>
      <c r="E970" s="2">
        <v>40</v>
      </c>
      <c r="F970" t="s">
        <v>14</v>
      </c>
      <c r="G970" s="2">
        <v>3</v>
      </c>
      <c r="H970" s="3">
        <v>300</v>
      </c>
      <c r="I970" s="3">
        <v>900</v>
      </c>
      <c r="J970" s="2" t="str">
        <f t="shared" si="15"/>
        <v>35–44</v>
      </c>
      <c r="K970" t="str" cm="1">
        <f t="array" ref="K970">_xlfn.IFS(
  OR(MONTH(B970)=12, MONTH(B970)=1, MONTH(B970)=2), "Winter",
  OR(MONTH(B970)=3, MONTH(B970)=4, MONTH(B970)=5), "Spring",
  OR(MONTH(B970)=6, MONTH(B970)=7, MONTH(B970)=8), "Summer",
  OR(MONTH(B970)=9, MONTH(B970)=10, MONTH(B970)=11), "Fall"
)</f>
        <v>Spring</v>
      </c>
    </row>
    <row r="971" spans="1:11">
      <c r="A971">
        <v>970</v>
      </c>
      <c r="B971" s="1">
        <v>45062</v>
      </c>
      <c r="C971" t="s">
        <v>983</v>
      </c>
      <c r="D971" t="s">
        <v>10</v>
      </c>
      <c r="E971" s="2">
        <v>59</v>
      </c>
      <c r="F971" t="s">
        <v>16</v>
      </c>
      <c r="G971" s="2">
        <v>4</v>
      </c>
      <c r="H971" s="3">
        <v>500</v>
      </c>
      <c r="I971" s="3">
        <v>2000</v>
      </c>
      <c r="J971" s="2" t="str">
        <f t="shared" si="15"/>
        <v>55–64</v>
      </c>
      <c r="K971" t="str" cm="1">
        <f t="array" ref="K971">_xlfn.IFS(
  OR(MONTH(B971)=12, MONTH(B971)=1, MONTH(B971)=2), "Winter",
  OR(MONTH(B971)=3, MONTH(B971)=4, MONTH(B971)=5), "Spring",
  OR(MONTH(B971)=6, MONTH(B971)=7, MONTH(B971)=8), "Summer",
  OR(MONTH(B971)=9, MONTH(B971)=10, MONTH(B971)=11), "Fall"
)</f>
        <v>Spring</v>
      </c>
    </row>
    <row r="972" spans="1:11">
      <c r="A972">
        <v>971</v>
      </c>
      <c r="B972" s="1">
        <v>45265</v>
      </c>
      <c r="C972" t="s">
        <v>984</v>
      </c>
      <c r="D972" t="s">
        <v>13</v>
      </c>
      <c r="E972" s="2">
        <v>27</v>
      </c>
      <c r="F972" t="s">
        <v>16</v>
      </c>
      <c r="G972" s="2">
        <v>4</v>
      </c>
      <c r="H972" s="3">
        <v>50</v>
      </c>
      <c r="I972" s="3">
        <v>200</v>
      </c>
      <c r="J972" s="2" t="str">
        <f t="shared" si="15"/>
        <v>25–34</v>
      </c>
      <c r="K972" t="str" cm="1">
        <f t="array" ref="K972">_xlfn.IFS(
  OR(MONTH(B972)=12, MONTH(B972)=1, MONTH(B972)=2), "Winter",
  OR(MONTH(B972)=3, MONTH(B972)=4, MONTH(B972)=5), "Spring",
  OR(MONTH(B972)=6, MONTH(B972)=7, MONTH(B972)=8), "Summer",
  OR(MONTH(B972)=9, MONTH(B972)=10, MONTH(B972)=11), "Fall"
)</f>
        <v>Winter</v>
      </c>
    </row>
    <row r="973" spans="1:11">
      <c r="A973">
        <v>972</v>
      </c>
      <c r="B973" s="1">
        <v>44968</v>
      </c>
      <c r="C973" t="s">
        <v>985</v>
      </c>
      <c r="D973" t="s">
        <v>10</v>
      </c>
      <c r="E973" s="2">
        <v>49</v>
      </c>
      <c r="F973" t="s">
        <v>11</v>
      </c>
      <c r="G973" s="2">
        <v>4</v>
      </c>
      <c r="H973" s="3">
        <v>25</v>
      </c>
      <c r="I973" s="3">
        <v>100</v>
      </c>
      <c r="J973" s="2" t="str">
        <f t="shared" si="15"/>
        <v>45–54</v>
      </c>
      <c r="K973" t="str" cm="1">
        <f t="array" ref="K973">_xlfn.IFS(
  OR(MONTH(B973)=12, MONTH(B973)=1, MONTH(B973)=2), "Winter",
  OR(MONTH(B973)=3, MONTH(B973)=4, MONTH(B973)=5), "Spring",
  OR(MONTH(B973)=6, MONTH(B973)=7, MONTH(B973)=8), "Summer",
  OR(MONTH(B973)=9, MONTH(B973)=10, MONTH(B973)=11), "Fall"
)</f>
        <v>Winter</v>
      </c>
    </row>
    <row r="974" spans="1:11">
      <c r="A974">
        <v>973</v>
      </c>
      <c r="B974" s="1">
        <v>45007</v>
      </c>
      <c r="C974" t="s">
        <v>986</v>
      </c>
      <c r="D974" t="s">
        <v>10</v>
      </c>
      <c r="E974" s="2">
        <v>60</v>
      </c>
      <c r="F974" t="s">
        <v>14</v>
      </c>
      <c r="G974" s="2">
        <v>1</v>
      </c>
      <c r="H974" s="3">
        <v>50</v>
      </c>
      <c r="I974" s="3">
        <v>50</v>
      </c>
      <c r="J974" s="2" t="str">
        <f t="shared" si="15"/>
        <v>55–64</v>
      </c>
      <c r="K974" t="str" cm="1">
        <f t="array" ref="K974">_xlfn.IFS(
  OR(MONTH(B974)=12, MONTH(B974)=1, MONTH(B974)=2), "Winter",
  OR(MONTH(B974)=3, MONTH(B974)=4, MONTH(B974)=5), "Spring",
  OR(MONTH(B974)=6, MONTH(B974)=7, MONTH(B974)=8), "Summer",
  OR(MONTH(B974)=9, MONTH(B974)=10, MONTH(B974)=11), "Fall"
)</f>
        <v>Spring</v>
      </c>
    </row>
    <row r="975" spans="1:11">
      <c r="A975">
        <v>974</v>
      </c>
      <c r="B975" s="1">
        <v>45049</v>
      </c>
      <c r="C975" t="s">
        <v>987</v>
      </c>
      <c r="D975" t="s">
        <v>10</v>
      </c>
      <c r="E975" s="2">
        <v>47</v>
      </c>
      <c r="F975" t="s">
        <v>11</v>
      </c>
      <c r="G975" s="2">
        <v>1</v>
      </c>
      <c r="H975" s="3">
        <v>30</v>
      </c>
      <c r="I975" s="3">
        <v>30</v>
      </c>
      <c r="J975" s="2" t="str">
        <f t="shared" si="15"/>
        <v>45–54</v>
      </c>
      <c r="K975" t="str" cm="1">
        <f t="array" ref="K975">_xlfn.IFS(
  OR(MONTH(B975)=12, MONTH(B975)=1, MONTH(B975)=2), "Winter",
  OR(MONTH(B975)=3, MONTH(B975)=4, MONTH(B975)=5), "Spring",
  OR(MONTH(B975)=6, MONTH(B975)=7, MONTH(B975)=8), "Summer",
  OR(MONTH(B975)=9, MONTH(B975)=10, MONTH(B975)=11), "Fall"
)</f>
        <v>Spring</v>
      </c>
    </row>
    <row r="976" spans="1:11">
      <c r="A976">
        <v>975</v>
      </c>
      <c r="B976" s="1">
        <v>45015</v>
      </c>
      <c r="C976" t="s">
        <v>988</v>
      </c>
      <c r="D976" t="s">
        <v>13</v>
      </c>
      <c r="E976" s="2">
        <v>56</v>
      </c>
      <c r="F976" t="s">
        <v>14</v>
      </c>
      <c r="G976" s="2">
        <v>4</v>
      </c>
      <c r="H976" s="3">
        <v>50</v>
      </c>
      <c r="I976" s="3">
        <v>200</v>
      </c>
      <c r="J976" s="2" t="str">
        <f t="shared" si="15"/>
        <v>55–64</v>
      </c>
      <c r="K976" t="str" cm="1">
        <f t="array" ref="K976">_xlfn.IFS(
  OR(MONTH(B976)=12, MONTH(B976)=1, MONTH(B976)=2), "Winter",
  OR(MONTH(B976)=3, MONTH(B976)=4, MONTH(B976)=5), "Spring",
  OR(MONTH(B976)=6, MONTH(B976)=7, MONTH(B976)=8), "Summer",
  OR(MONTH(B976)=9, MONTH(B976)=10, MONTH(B976)=11), "Fall"
)</f>
        <v>Spring</v>
      </c>
    </row>
    <row r="977" spans="1:11">
      <c r="A977">
        <v>976</v>
      </c>
      <c r="B977" s="1">
        <v>45209</v>
      </c>
      <c r="C977" t="s">
        <v>989</v>
      </c>
      <c r="D977" t="s">
        <v>13</v>
      </c>
      <c r="E977" s="2">
        <v>48</v>
      </c>
      <c r="F977" t="s">
        <v>11</v>
      </c>
      <c r="G977" s="2">
        <v>2</v>
      </c>
      <c r="H977" s="3">
        <v>300</v>
      </c>
      <c r="I977" s="3">
        <v>600</v>
      </c>
      <c r="J977" s="2" t="str">
        <f t="shared" si="15"/>
        <v>45–54</v>
      </c>
      <c r="K977" t="str" cm="1">
        <f t="array" ref="K977">_xlfn.IFS(
  OR(MONTH(B977)=12, MONTH(B977)=1, MONTH(B977)=2), "Winter",
  OR(MONTH(B977)=3, MONTH(B977)=4, MONTH(B977)=5), "Spring",
  OR(MONTH(B977)=6, MONTH(B977)=7, MONTH(B977)=8), "Summer",
  OR(MONTH(B977)=9, MONTH(B977)=10, MONTH(B977)=11), "Fall"
)</f>
        <v>Fall</v>
      </c>
    </row>
    <row r="978" spans="1:11">
      <c r="A978">
        <v>977</v>
      </c>
      <c r="B978" s="1">
        <v>44965</v>
      </c>
      <c r="C978" t="s">
        <v>990</v>
      </c>
      <c r="D978" t="s">
        <v>13</v>
      </c>
      <c r="E978" s="2">
        <v>35</v>
      </c>
      <c r="F978" t="s">
        <v>16</v>
      </c>
      <c r="G978" s="2">
        <v>3</v>
      </c>
      <c r="H978" s="3">
        <v>25</v>
      </c>
      <c r="I978" s="3">
        <v>75</v>
      </c>
      <c r="J978" s="2" t="str">
        <f t="shared" si="15"/>
        <v>35–44</v>
      </c>
      <c r="K978" t="str" cm="1">
        <f t="array" ref="K978">_xlfn.IFS(
  OR(MONTH(B978)=12, MONTH(B978)=1, MONTH(B978)=2), "Winter",
  OR(MONTH(B978)=3, MONTH(B978)=4, MONTH(B978)=5), "Spring",
  OR(MONTH(B978)=6, MONTH(B978)=7, MONTH(B978)=8), "Summer",
  OR(MONTH(B978)=9, MONTH(B978)=10, MONTH(B978)=11), "Fall"
)</f>
        <v>Winter</v>
      </c>
    </row>
    <row r="979" spans="1:11">
      <c r="A979">
        <v>978</v>
      </c>
      <c r="B979" s="1">
        <v>45007</v>
      </c>
      <c r="C979" t="s">
        <v>991</v>
      </c>
      <c r="D979" t="s">
        <v>13</v>
      </c>
      <c r="E979" s="2">
        <v>53</v>
      </c>
      <c r="F979" t="s">
        <v>14</v>
      </c>
      <c r="G979" s="2">
        <v>3</v>
      </c>
      <c r="H979" s="3">
        <v>50</v>
      </c>
      <c r="I979" s="3">
        <v>150</v>
      </c>
      <c r="J979" s="2" t="str">
        <f t="shared" si="15"/>
        <v>45–54</v>
      </c>
      <c r="K979" t="str" cm="1">
        <f t="array" ref="K979">_xlfn.IFS(
  OR(MONTH(B979)=12, MONTH(B979)=1, MONTH(B979)=2), "Winter",
  OR(MONTH(B979)=3, MONTH(B979)=4, MONTH(B979)=5), "Spring",
  OR(MONTH(B979)=6, MONTH(B979)=7, MONTH(B979)=8), "Summer",
  OR(MONTH(B979)=9, MONTH(B979)=10, MONTH(B979)=11), "Fall"
)</f>
        <v>Spring</v>
      </c>
    </row>
    <row r="980" spans="1:11">
      <c r="A980">
        <v>979</v>
      </c>
      <c r="B980" s="1">
        <v>44928</v>
      </c>
      <c r="C980" t="s">
        <v>992</v>
      </c>
      <c r="D980" t="s">
        <v>13</v>
      </c>
      <c r="E980" s="2">
        <v>19</v>
      </c>
      <c r="F980" t="s">
        <v>11</v>
      </c>
      <c r="G980" s="2">
        <v>1</v>
      </c>
      <c r="H980" s="3">
        <v>25</v>
      </c>
      <c r="I980" s="3">
        <v>25</v>
      </c>
      <c r="J980" s="2" t="str">
        <f t="shared" si="15"/>
        <v>18–24</v>
      </c>
      <c r="K980" t="str" cm="1">
        <f t="array" ref="K980">_xlfn.IFS(
  OR(MONTH(B980)=12, MONTH(B980)=1, MONTH(B980)=2), "Winter",
  OR(MONTH(B980)=3, MONTH(B980)=4, MONTH(B980)=5), "Spring",
  OR(MONTH(B980)=6, MONTH(B980)=7, MONTH(B980)=8), "Summer",
  OR(MONTH(B980)=9, MONTH(B980)=10, MONTH(B980)=11), "Fall"
)</f>
        <v>Winter</v>
      </c>
    </row>
    <row r="981" spans="1:11">
      <c r="A981">
        <v>980</v>
      </c>
      <c r="B981" s="1">
        <v>45136</v>
      </c>
      <c r="C981" t="s">
        <v>993</v>
      </c>
      <c r="D981" t="s">
        <v>13</v>
      </c>
      <c r="E981" s="2">
        <v>31</v>
      </c>
      <c r="F981" t="s">
        <v>16</v>
      </c>
      <c r="G981" s="2">
        <v>3</v>
      </c>
      <c r="H981" s="3">
        <v>25</v>
      </c>
      <c r="I981" s="3">
        <v>75</v>
      </c>
      <c r="J981" s="2" t="str">
        <f t="shared" si="15"/>
        <v>25–34</v>
      </c>
      <c r="K981" t="str" cm="1">
        <f t="array" ref="K981">_xlfn.IFS(
  OR(MONTH(B981)=12, MONTH(B981)=1, MONTH(B981)=2), "Winter",
  OR(MONTH(B981)=3, MONTH(B981)=4, MONTH(B981)=5), "Spring",
  OR(MONTH(B981)=6, MONTH(B981)=7, MONTH(B981)=8), "Summer",
  OR(MONTH(B981)=9, MONTH(B981)=10, MONTH(B981)=11), "Fall"
)</f>
        <v>Summer</v>
      </c>
    </row>
    <row r="982" spans="1:11">
      <c r="A982">
        <v>981</v>
      </c>
      <c r="B982" s="1">
        <v>45157</v>
      </c>
      <c r="C982" t="s">
        <v>994</v>
      </c>
      <c r="D982" t="s">
        <v>13</v>
      </c>
      <c r="E982" s="2">
        <v>30</v>
      </c>
      <c r="F982" t="s">
        <v>16</v>
      </c>
      <c r="G982" s="2">
        <v>2</v>
      </c>
      <c r="H982" s="3">
        <v>30</v>
      </c>
      <c r="I982" s="3">
        <v>60</v>
      </c>
      <c r="J982" s="2" t="str">
        <f t="shared" si="15"/>
        <v>25–34</v>
      </c>
      <c r="K982" t="str" cm="1">
        <f t="array" ref="K982">_xlfn.IFS(
  OR(MONTH(B982)=12, MONTH(B982)=1, MONTH(B982)=2), "Winter",
  OR(MONTH(B982)=3, MONTH(B982)=4, MONTH(B982)=5), "Spring",
  OR(MONTH(B982)=6, MONTH(B982)=7, MONTH(B982)=8), "Summer",
  OR(MONTH(B982)=9, MONTH(B982)=10, MONTH(B982)=11), "Fall"
)</f>
        <v>Summer</v>
      </c>
    </row>
    <row r="983" spans="1:11">
      <c r="A983">
        <v>982</v>
      </c>
      <c r="B983" s="1">
        <v>45279</v>
      </c>
      <c r="C983" t="s">
        <v>995</v>
      </c>
      <c r="D983" t="s">
        <v>13</v>
      </c>
      <c r="E983" s="2">
        <v>46</v>
      </c>
      <c r="F983" t="s">
        <v>11</v>
      </c>
      <c r="G983" s="2">
        <v>3</v>
      </c>
      <c r="H983" s="3">
        <v>30</v>
      </c>
      <c r="I983" s="3">
        <v>90</v>
      </c>
      <c r="J983" s="2" t="str">
        <f t="shared" si="15"/>
        <v>45–54</v>
      </c>
      <c r="K983" t="str" cm="1">
        <f t="array" ref="K983">_xlfn.IFS(
  OR(MONTH(B983)=12, MONTH(B983)=1, MONTH(B983)=2), "Winter",
  OR(MONTH(B983)=3, MONTH(B983)=4, MONTH(B983)=5), "Spring",
  OR(MONTH(B983)=6, MONTH(B983)=7, MONTH(B983)=8), "Summer",
  OR(MONTH(B983)=9, MONTH(B983)=10, MONTH(B983)=11), "Fall"
)</f>
        <v>Winter</v>
      </c>
    </row>
    <row r="984" spans="1:11">
      <c r="A984">
        <v>983</v>
      </c>
      <c r="B984" s="1">
        <v>45231</v>
      </c>
      <c r="C984" t="s">
        <v>996</v>
      </c>
      <c r="D984" t="s">
        <v>13</v>
      </c>
      <c r="E984" s="2">
        <v>29</v>
      </c>
      <c r="F984" t="s">
        <v>14</v>
      </c>
      <c r="G984" s="2">
        <v>1</v>
      </c>
      <c r="H984" s="3">
        <v>300</v>
      </c>
      <c r="I984" s="3">
        <v>300</v>
      </c>
      <c r="J984" s="2" t="str">
        <f t="shared" si="15"/>
        <v>25–34</v>
      </c>
      <c r="K984" t="str" cm="1">
        <f t="array" ref="K984">_xlfn.IFS(
  OR(MONTH(B984)=12, MONTH(B984)=1, MONTH(B984)=2), "Winter",
  OR(MONTH(B984)=3, MONTH(B984)=4, MONTH(B984)=5), "Spring",
  OR(MONTH(B984)=6, MONTH(B984)=7, MONTH(B984)=8), "Summer",
  OR(MONTH(B984)=9, MONTH(B984)=10, MONTH(B984)=11), "Fall"
)</f>
        <v>Fall</v>
      </c>
    </row>
    <row r="985" spans="1:11">
      <c r="A985">
        <v>984</v>
      </c>
      <c r="B985" s="1">
        <v>45167</v>
      </c>
      <c r="C985" t="s">
        <v>997</v>
      </c>
      <c r="D985" t="s">
        <v>10</v>
      </c>
      <c r="E985" s="2">
        <v>56</v>
      </c>
      <c r="F985" t="s">
        <v>14</v>
      </c>
      <c r="G985" s="2">
        <v>1</v>
      </c>
      <c r="H985" s="3">
        <v>500</v>
      </c>
      <c r="I985" s="3">
        <v>500</v>
      </c>
      <c r="J985" s="2" t="str">
        <f t="shared" si="15"/>
        <v>55–64</v>
      </c>
      <c r="K985" t="str" cm="1">
        <f t="array" ref="K985">_xlfn.IFS(
  OR(MONTH(B985)=12, MONTH(B985)=1, MONTH(B985)=2), "Winter",
  OR(MONTH(B985)=3, MONTH(B985)=4, MONTH(B985)=5), "Spring",
  OR(MONTH(B985)=6, MONTH(B985)=7, MONTH(B985)=8), "Summer",
  OR(MONTH(B985)=9, MONTH(B985)=10, MONTH(B985)=11), "Fall"
)</f>
        <v>Summer</v>
      </c>
    </row>
    <row r="986" spans="1:11">
      <c r="A986">
        <v>985</v>
      </c>
      <c r="B986" s="1">
        <v>45076</v>
      </c>
      <c r="C986" t="s">
        <v>998</v>
      </c>
      <c r="D986" t="s">
        <v>13</v>
      </c>
      <c r="E986" s="2">
        <v>19</v>
      </c>
      <c r="F986" t="s">
        <v>16</v>
      </c>
      <c r="G986" s="2">
        <v>2</v>
      </c>
      <c r="H986" s="3">
        <v>25</v>
      </c>
      <c r="I986" s="3">
        <v>50</v>
      </c>
      <c r="J986" s="2" t="str">
        <f t="shared" si="15"/>
        <v>18–24</v>
      </c>
      <c r="K986" t="str" cm="1">
        <f t="array" ref="K986">_xlfn.IFS(
  OR(MONTH(B986)=12, MONTH(B986)=1, MONTH(B986)=2), "Winter",
  OR(MONTH(B986)=3, MONTH(B986)=4, MONTH(B986)=5), "Spring",
  OR(MONTH(B986)=6, MONTH(B986)=7, MONTH(B986)=8), "Summer",
  OR(MONTH(B986)=9, MONTH(B986)=10, MONTH(B986)=11), "Fall"
)</f>
        <v>Spring</v>
      </c>
    </row>
    <row r="987" spans="1:11">
      <c r="A987">
        <v>986</v>
      </c>
      <c r="B987" s="1">
        <v>44943</v>
      </c>
      <c r="C987" t="s">
        <v>999</v>
      </c>
      <c r="D987" t="s">
        <v>13</v>
      </c>
      <c r="E987" s="2">
        <v>49</v>
      </c>
      <c r="F987" t="s">
        <v>14</v>
      </c>
      <c r="G987" s="2">
        <v>2</v>
      </c>
      <c r="H987" s="3">
        <v>500</v>
      </c>
      <c r="I987" s="3">
        <v>1000</v>
      </c>
      <c r="J987" s="2" t="str">
        <f t="shared" si="15"/>
        <v>45–54</v>
      </c>
      <c r="K987" t="str" cm="1">
        <f t="array" ref="K987">_xlfn.IFS(
  OR(MONTH(B987)=12, MONTH(B987)=1, MONTH(B987)=2), "Winter",
  OR(MONTH(B987)=3, MONTH(B987)=4, MONTH(B987)=5), "Spring",
  OR(MONTH(B987)=6, MONTH(B987)=7, MONTH(B987)=8), "Summer",
  OR(MONTH(B987)=9, MONTH(B987)=10, MONTH(B987)=11), "Fall"
)</f>
        <v>Winter</v>
      </c>
    </row>
    <row r="988" spans="1:11">
      <c r="A988">
        <v>987</v>
      </c>
      <c r="B988" s="1">
        <v>45045</v>
      </c>
      <c r="C988" t="s">
        <v>1000</v>
      </c>
      <c r="D988" t="s">
        <v>13</v>
      </c>
      <c r="E988" s="2">
        <v>30</v>
      </c>
      <c r="F988" t="s">
        <v>14</v>
      </c>
      <c r="G988" s="2">
        <v>3</v>
      </c>
      <c r="H988" s="3">
        <v>300</v>
      </c>
      <c r="I988" s="3">
        <v>900</v>
      </c>
      <c r="J988" s="2" t="str">
        <f t="shared" si="15"/>
        <v>25–34</v>
      </c>
      <c r="K988" t="str" cm="1">
        <f t="array" ref="K988">_xlfn.IFS(
  OR(MONTH(B988)=12, MONTH(B988)=1, MONTH(B988)=2), "Winter",
  OR(MONTH(B988)=3, MONTH(B988)=4, MONTH(B988)=5), "Spring",
  OR(MONTH(B988)=6, MONTH(B988)=7, MONTH(B988)=8), "Summer",
  OR(MONTH(B988)=9, MONTH(B988)=10, MONTH(B988)=11), "Fall"
)</f>
        <v>Spring</v>
      </c>
    </row>
    <row r="989" spans="1:11">
      <c r="A989">
        <v>988</v>
      </c>
      <c r="B989" s="1">
        <v>45074</v>
      </c>
      <c r="C989" t="s">
        <v>1001</v>
      </c>
      <c r="D989" t="s">
        <v>13</v>
      </c>
      <c r="E989" s="2">
        <v>63</v>
      </c>
      <c r="F989" t="s">
        <v>14</v>
      </c>
      <c r="G989" s="2">
        <v>3</v>
      </c>
      <c r="H989" s="3">
        <v>25</v>
      </c>
      <c r="I989" s="3">
        <v>75</v>
      </c>
      <c r="J989" s="2" t="str">
        <f t="shared" si="15"/>
        <v>55–64</v>
      </c>
      <c r="K989" t="str" cm="1">
        <f t="array" ref="K989">_xlfn.IFS(
  OR(MONTH(B989)=12, MONTH(B989)=1, MONTH(B989)=2), "Winter",
  OR(MONTH(B989)=3, MONTH(B989)=4, MONTH(B989)=5), "Spring",
  OR(MONTH(B989)=6, MONTH(B989)=7, MONTH(B989)=8), "Summer",
  OR(MONTH(B989)=9, MONTH(B989)=10, MONTH(B989)=11), "Fall"
)</f>
        <v>Spring</v>
      </c>
    </row>
    <row r="990" spans="1:11">
      <c r="A990">
        <v>989</v>
      </c>
      <c r="B990" s="1">
        <v>45288</v>
      </c>
      <c r="C990" t="s">
        <v>1002</v>
      </c>
      <c r="D990" t="s">
        <v>13</v>
      </c>
      <c r="E990" s="2">
        <v>44</v>
      </c>
      <c r="F990" t="s">
        <v>16</v>
      </c>
      <c r="G990" s="2">
        <v>1</v>
      </c>
      <c r="H990" s="3">
        <v>25</v>
      </c>
      <c r="I990" s="3">
        <v>25</v>
      </c>
      <c r="J990" s="2" t="str">
        <f t="shared" si="15"/>
        <v>35–44</v>
      </c>
      <c r="K990" t="str" cm="1">
        <f t="array" ref="K990">_xlfn.IFS(
  OR(MONTH(B990)=12, MONTH(B990)=1, MONTH(B990)=2), "Winter",
  OR(MONTH(B990)=3, MONTH(B990)=4, MONTH(B990)=5), "Spring",
  OR(MONTH(B990)=6, MONTH(B990)=7, MONTH(B990)=8), "Summer",
  OR(MONTH(B990)=9, MONTH(B990)=10, MONTH(B990)=11), "Fall"
)</f>
        <v>Winter</v>
      </c>
    </row>
    <row r="991" spans="1:11">
      <c r="A991">
        <v>990</v>
      </c>
      <c r="B991" s="1">
        <v>45071</v>
      </c>
      <c r="C991" t="s">
        <v>1003</v>
      </c>
      <c r="D991" t="s">
        <v>13</v>
      </c>
      <c r="E991" s="2">
        <v>58</v>
      </c>
      <c r="F991" t="s">
        <v>11</v>
      </c>
      <c r="G991" s="2">
        <v>2</v>
      </c>
      <c r="H991" s="3">
        <v>500</v>
      </c>
      <c r="I991" s="3">
        <v>1000</v>
      </c>
      <c r="J991" s="2" t="str">
        <f t="shared" si="15"/>
        <v>55–64</v>
      </c>
      <c r="K991" t="str" cm="1">
        <f t="array" ref="K991">_xlfn.IFS(
  OR(MONTH(B991)=12, MONTH(B991)=1, MONTH(B991)=2), "Winter",
  OR(MONTH(B991)=3, MONTH(B991)=4, MONTH(B991)=5), "Spring",
  OR(MONTH(B991)=6, MONTH(B991)=7, MONTH(B991)=8), "Summer",
  OR(MONTH(B991)=9, MONTH(B991)=10, MONTH(B991)=11), "Fall"
)</f>
        <v>Spring</v>
      </c>
    </row>
    <row r="992" spans="1:11">
      <c r="A992">
        <v>991</v>
      </c>
      <c r="B992" s="1">
        <v>45286</v>
      </c>
      <c r="C992" t="s">
        <v>1004</v>
      </c>
      <c r="D992" t="s">
        <v>13</v>
      </c>
      <c r="E992" s="2">
        <v>34</v>
      </c>
      <c r="F992" t="s">
        <v>14</v>
      </c>
      <c r="G992" s="2">
        <v>2</v>
      </c>
      <c r="H992" s="3">
        <v>50</v>
      </c>
      <c r="I992" s="3">
        <v>100</v>
      </c>
      <c r="J992" s="2" t="str">
        <f t="shared" si="15"/>
        <v>25–34</v>
      </c>
      <c r="K992" t="str" cm="1">
        <f t="array" ref="K992">_xlfn.IFS(
  OR(MONTH(B992)=12, MONTH(B992)=1, MONTH(B992)=2), "Winter",
  OR(MONTH(B992)=3, MONTH(B992)=4, MONTH(B992)=5), "Spring",
  OR(MONTH(B992)=6, MONTH(B992)=7, MONTH(B992)=8), "Summer",
  OR(MONTH(B992)=9, MONTH(B992)=10, MONTH(B992)=11), "Fall"
)</f>
        <v>Winter</v>
      </c>
    </row>
    <row r="993" spans="1:11">
      <c r="A993">
        <v>992</v>
      </c>
      <c r="B993" s="1">
        <v>45159</v>
      </c>
      <c r="C993" t="s">
        <v>1005</v>
      </c>
      <c r="D993" t="s">
        <v>13</v>
      </c>
      <c r="E993" s="2">
        <v>57</v>
      </c>
      <c r="F993" t="s">
        <v>16</v>
      </c>
      <c r="G993" s="2">
        <v>2</v>
      </c>
      <c r="H993" s="3">
        <v>30</v>
      </c>
      <c r="I993" s="3">
        <v>60</v>
      </c>
      <c r="J993" s="2" t="str">
        <f t="shared" si="15"/>
        <v>55–64</v>
      </c>
      <c r="K993" t="str" cm="1">
        <f t="array" ref="K993">_xlfn.IFS(
  OR(MONTH(B993)=12, MONTH(B993)=1, MONTH(B993)=2), "Winter",
  OR(MONTH(B993)=3, MONTH(B993)=4, MONTH(B993)=5), "Spring",
  OR(MONTH(B993)=6, MONTH(B993)=7, MONTH(B993)=8), "Summer",
  OR(MONTH(B993)=9, MONTH(B993)=10, MONTH(B993)=11), "Fall"
)</f>
        <v>Summer</v>
      </c>
    </row>
    <row r="994" spans="1:11">
      <c r="A994">
        <v>993</v>
      </c>
      <c r="B994" s="1">
        <v>44963</v>
      </c>
      <c r="C994" t="s">
        <v>1006</v>
      </c>
      <c r="D994" t="s">
        <v>13</v>
      </c>
      <c r="E994" s="2">
        <v>48</v>
      </c>
      <c r="F994" t="s">
        <v>16</v>
      </c>
      <c r="G994" s="2">
        <v>3</v>
      </c>
      <c r="H994" s="3">
        <v>50</v>
      </c>
      <c r="I994" s="3">
        <v>150</v>
      </c>
      <c r="J994" s="2" t="str">
        <f t="shared" si="15"/>
        <v>45–54</v>
      </c>
      <c r="K994" t="str" cm="1">
        <f t="array" ref="K994">_xlfn.IFS(
  OR(MONTH(B994)=12, MONTH(B994)=1, MONTH(B994)=2), "Winter",
  OR(MONTH(B994)=3, MONTH(B994)=4, MONTH(B994)=5), "Spring",
  OR(MONTH(B994)=6, MONTH(B994)=7, MONTH(B994)=8), "Summer",
  OR(MONTH(B994)=9, MONTH(B994)=10, MONTH(B994)=11), "Fall"
)</f>
        <v>Winter</v>
      </c>
    </row>
    <row r="995" spans="1:11">
      <c r="A995">
        <v>994</v>
      </c>
      <c r="B995" s="1">
        <v>45278</v>
      </c>
      <c r="C995" t="s">
        <v>1007</v>
      </c>
      <c r="D995" t="s">
        <v>13</v>
      </c>
      <c r="E995" s="2">
        <v>51</v>
      </c>
      <c r="F995" t="s">
        <v>11</v>
      </c>
      <c r="G995" s="2">
        <v>2</v>
      </c>
      <c r="H995" s="3">
        <v>500</v>
      </c>
      <c r="I995" s="3">
        <v>1000</v>
      </c>
      <c r="J995" s="2" t="str">
        <f t="shared" si="15"/>
        <v>45–54</v>
      </c>
      <c r="K995" t="str" cm="1">
        <f t="array" ref="K995">_xlfn.IFS(
  OR(MONTH(B995)=12, MONTH(B995)=1, MONTH(B995)=2), "Winter",
  OR(MONTH(B995)=3, MONTH(B995)=4, MONTH(B995)=5), "Spring",
  OR(MONTH(B995)=6, MONTH(B995)=7, MONTH(B995)=8), "Summer",
  OR(MONTH(B995)=9, MONTH(B995)=10, MONTH(B995)=11), "Fall"
)</f>
        <v>Winter</v>
      </c>
    </row>
    <row r="996" spans="1:11">
      <c r="A996">
        <v>995</v>
      </c>
      <c r="B996" s="1">
        <v>45046</v>
      </c>
      <c r="C996" t="s">
        <v>1008</v>
      </c>
      <c r="D996" t="s">
        <v>13</v>
      </c>
      <c r="E996" s="2">
        <v>41</v>
      </c>
      <c r="F996" t="s">
        <v>14</v>
      </c>
      <c r="G996" s="2">
        <v>1</v>
      </c>
      <c r="H996" s="3">
        <v>30</v>
      </c>
      <c r="I996" s="3">
        <v>30</v>
      </c>
      <c r="J996" s="2" t="str">
        <f t="shared" si="15"/>
        <v>35–44</v>
      </c>
      <c r="K996" t="str" cm="1">
        <f t="array" ref="K996">_xlfn.IFS(
  OR(MONTH(B996)=12, MONTH(B996)=1, MONTH(B996)=2), "Winter",
  OR(MONTH(B996)=3, MONTH(B996)=4, MONTH(B996)=5), "Spring",
  OR(MONTH(B996)=6, MONTH(B996)=7, MONTH(B996)=8), "Summer",
  OR(MONTH(B996)=9, MONTH(B996)=10, MONTH(B996)=11), "Fall"
)</f>
        <v>Spring</v>
      </c>
    </row>
    <row r="997" spans="1:11">
      <c r="A997">
        <v>996</v>
      </c>
      <c r="B997" s="1">
        <v>45062</v>
      </c>
      <c r="C997" t="s">
        <v>1009</v>
      </c>
      <c r="D997" t="s">
        <v>10</v>
      </c>
      <c r="E997" s="2">
        <v>62</v>
      </c>
      <c r="F997" t="s">
        <v>14</v>
      </c>
      <c r="G997" s="2">
        <v>1</v>
      </c>
      <c r="H997" s="3">
        <v>50</v>
      </c>
      <c r="I997" s="3">
        <v>50</v>
      </c>
      <c r="J997" s="2" t="str">
        <f t="shared" si="15"/>
        <v>55–64</v>
      </c>
      <c r="K997" t="str" cm="1">
        <f t="array" ref="K997">_xlfn.IFS(
  OR(MONTH(B997)=12, MONTH(B997)=1, MONTH(B997)=2), "Winter",
  OR(MONTH(B997)=3, MONTH(B997)=4, MONTH(B997)=5), "Spring",
  OR(MONTH(B997)=6, MONTH(B997)=7, MONTH(B997)=8), "Summer",
  OR(MONTH(B997)=9, MONTH(B997)=10, MONTH(B997)=11), "Fall"
)</f>
        <v>Spring</v>
      </c>
    </row>
    <row r="998" spans="1:11">
      <c r="A998">
        <v>997</v>
      </c>
      <c r="B998" s="1">
        <v>45247</v>
      </c>
      <c r="C998" t="s">
        <v>1010</v>
      </c>
      <c r="D998" t="s">
        <v>10</v>
      </c>
      <c r="E998" s="2">
        <v>52</v>
      </c>
      <c r="F998" t="s">
        <v>11</v>
      </c>
      <c r="G998" s="2">
        <v>3</v>
      </c>
      <c r="H998" s="3">
        <v>30</v>
      </c>
      <c r="I998" s="3">
        <v>90</v>
      </c>
      <c r="J998" s="2" t="str">
        <f t="shared" si="15"/>
        <v>45–54</v>
      </c>
      <c r="K998" t="str" cm="1">
        <f t="array" ref="K998">_xlfn.IFS(
  OR(MONTH(B998)=12, MONTH(B998)=1, MONTH(B998)=2), "Winter",
  OR(MONTH(B998)=3, MONTH(B998)=4, MONTH(B998)=5), "Spring",
  OR(MONTH(B998)=6, MONTH(B998)=7, MONTH(B998)=8), "Summer",
  OR(MONTH(B998)=9, MONTH(B998)=10, MONTH(B998)=11), "Fall"
)</f>
        <v>Fall</v>
      </c>
    </row>
    <row r="999" spans="1:11">
      <c r="A999">
        <v>998</v>
      </c>
      <c r="B999" s="1">
        <v>45228</v>
      </c>
      <c r="C999" t="s">
        <v>1011</v>
      </c>
      <c r="D999" t="s">
        <v>13</v>
      </c>
      <c r="E999" s="2">
        <v>23</v>
      </c>
      <c r="F999" t="s">
        <v>11</v>
      </c>
      <c r="G999" s="2">
        <v>4</v>
      </c>
      <c r="H999" s="3">
        <v>25</v>
      </c>
      <c r="I999" s="3">
        <v>100</v>
      </c>
      <c r="J999" s="2" t="str">
        <f t="shared" si="15"/>
        <v>18–24</v>
      </c>
      <c r="K999" t="str" cm="1">
        <f t="array" ref="K999">_xlfn.IFS(
  OR(MONTH(B999)=12, MONTH(B999)=1, MONTH(B999)=2), "Winter",
  OR(MONTH(B999)=3, MONTH(B999)=4, MONTH(B999)=5), "Spring",
  OR(MONTH(B999)=6, MONTH(B999)=7, MONTH(B999)=8), "Summer",
  OR(MONTH(B999)=9, MONTH(B999)=10, MONTH(B999)=11), "Fall"
)</f>
        <v>Fall</v>
      </c>
    </row>
    <row r="1000" spans="1:11">
      <c r="A1000">
        <v>999</v>
      </c>
      <c r="B1000" s="1">
        <v>45265</v>
      </c>
      <c r="C1000" t="s">
        <v>1012</v>
      </c>
      <c r="D1000" t="s">
        <v>13</v>
      </c>
      <c r="E1000" s="2">
        <v>36</v>
      </c>
      <c r="F1000" t="s">
        <v>16</v>
      </c>
      <c r="G1000" s="2">
        <v>3</v>
      </c>
      <c r="H1000" s="3">
        <v>50</v>
      </c>
      <c r="I1000" s="3">
        <v>150</v>
      </c>
      <c r="J1000" s="2" t="str">
        <f t="shared" si="15"/>
        <v>35–44</v>
      </c>
      <c r="K1000" t="str" cm="1">
        <f t="array" ref="K1000">_xlfn.IFS(
  OR(MONTH(B1000)=12, MONTH(B1000)=1, MONTH(B1000)=2), "Winter",
  OR(MONTH(B1000)=3, MONTH(B1000)=4, MONTH(B1000)=5), "Spring",
  OR(MONTH(B1000)=6, MONTH(B1000)=7, MONTH(B1000)=8), "Summer",
  OR(MONTH(B1000)=9, MONTH(B1000)=10, MONTH(B1000)=11), "Fall"
)</f>
        <v>Winter</v>
      </c>
    </row>
    <row r="1001" spans="1:11">
      <c r="A1001">
        <v>1000</v>
      </c>
      <c r="B1001" s="1">
        <v>45028</v>
      </c>
      <c r="C1001" t="s">
        <v>1013</v>
      </c>
      <c r="D1001" t="s">
        <v>10</v>
      </c>
      <c r="E1001" s="2">
        <v>47</v>
      </c>
      <c r="F1001" t="s">
        <v>16</v>
      </c>
      <c r="G1001" s="2">
        <v>4</v>
      </c>
      <c r="H1001" s="3">
        <v>30</v>
      </c>
      <c r="I1001" s="3">
        <v>120</v>
      </c>
      <c r="J1001" s="2" t="str">
        <f t="shared" si="15"/>
        <v>45–54</v>
      </c>
      <c r="K1001" t="str" cm="1">
        <f t="array" ref="K1001">_xlfn.IFS(
  OR(MONTH(B1001)=12, MONTH(B1001)=1, MONTH(B1001)=2), "Winter",
  OR(MONTH(B1001)=3, MONTH(B1001)=4, MONTH(B1001)=5), "Spring",
  OR(MONTH(B1001)=6, MONTH(B1001)=7, MONTH(B1001)=8), "Summer",
  OR(MONTH(B1001)=9, MONTH(B1001)=10, MONTH(B1001)=11), "Fall"
)</f>
        <v>Spring</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3F8A2-2683-6241-B46C-32ECB7166F7E}">
  <dimension ref="B2:K94"/>
  <sheetViews>
    <sheetView topLeftCell="A59" workbookViewId="0">
      <selection activeCell="W15" sqref="W15"/>
    </sheetView>
  </sheetViews>
  <sheetFormatPr defaultColWidth="10.6640625" defaultRowHeight="16"/>
  <cols>
    <col min="2" max="2" width="18.1640625" bestFit="1" customWidth="1"/>
    <col min="3" max="3" width="16" bestFit="1" customWidth="1"/>
    <col min="4" max="4" width="8.6640625" bestFit="1" customWidth="1"/>
    <col min="5" max="6" width="10.5" bestFit="1" customWidth="1"/>
    <col min="7" max="7" width="9.1640625" bestFit="1" customWidth="1"/>
    <col min="8" max="8" width="18.1640625" bestFit="1" customWidth="1"/>
    <col min="9" max="9" width="14.1640625" bestFit="1" customWidth="1"/>
    <col min="10" max="10" width="15.5" bestFit="1" customWidth="1"/>
    <col min="11" max="11" width="20.5" bestFit="1" customWidth="1"/>
    <col min="12" max="12" width="2.1640625" bestFit="1" customWidth="1"/>
    <col min="13" max="13" width="10.5" bestFit="1" customWidth="1"/>
    <col min="14" max="14" width="3.83203125" bestFit="1" customWidth="1"/>
    <col min="15" max="15" width="6.5" bestFit="1" customWidth="1"/>
    <col min="16" max="16" width="3.83203125" bestFit="1" customWidth="1"/>
    <col min="17" max="17" width="6.5" bestFit="1" customWidth="1"/>
    <col min="18" max="18" width="3.83203125" bestFit="1" customWidth="1"/>
    <col min="19" max="19" width="6.5" bestFit="1" customWidth="1"/>
    <col min="20" max="20" width="3.83203125" bestFit="1" customWidth="1"/>
    <col min="21" max="21" width="6.5" bestFit="1" customWidth="1"/>
    <col min="22" max="22" width="3.83203125" bestFit="1" customWidth="1"/>
    <col min="23" max="23" width="6.5" bestFit="1" customWidth="1"/>
    <col min="24" max="24" width="3.83203125" bestFit="1" customWidth="1"/>
    <col min="25" max="25" width="6.5" bestFit="1" customWidth="1"/>
    <col min="26" max="26" width="4.83203125" bestFit="1" customWidth="1"/>
    <col min="27" max="27" width="7.5" bestFit="1" customWidth="1"/>
    <col min="28" max="28" width="4.83203125" bestFit="1" customWidth="1"/>
    <col min="29" max="29" width="7.5" bestFit="1" customWidth="1"/>
    <col min="30" max="30" width="4.83203125" bestFit="1" customWidth="1"/>
    <col min="31" max="31" width="7.5" bestFit="1" customWidth="1"/>
    <col min="32" max="32" width="4.83203125" bestFit="1" customWidth="1"/>
    <col min="33" max="33" width="7.5" bestFit="1" customWidth="1"/>
    <col min="34" max="34" width="4.83203125" bestFit="1" customWidth="1"/>
    <col min="35" max="35" width="7.5" bestFit="1" customWidth="1"/>
    <col min="36" max="36" width="4.83203125" bestFit="1" customWidth="1"/>
    <col min="37" max="37" width="7.5" bestFit="1" customWidth="1"/>
    <col min="38" max="38" width="4.83203125" bestFit="1" customWidth="1"/>
    <col min="39" max="39" width="7.5" bestFit="1" customWidth="1"/>
    <col min="40" max="40" width="4.83203125" bestFit="1" customWidth="1"/>
    <col min="41" max="41" width="7.5" bestFit="1" customWidth="1"/>
    <col min="42" max="42" width="4.83203125" bestFit="1" customWidth="1"/>
    <col min="43" max="43" width="7.5" bestFit="1" customWidth="1"/>
    <col min="44" max="44" width="4.83203125" bestFit="1" customWidth="1"/>
    <col min="45" max="45" width="7.5" bestFit="1" customWidth="1"/>
    <col min="46" max="46" width="4.83203125" bestFit="1" customWidth="1"/>
    <col min="47" max="47" width="7.5" bestFit="1" customWidth="1"/>
    <col min="48" max="48" width="4.83203125" bestFit="1" customWidth="1"/>
    <col min="49" max="49" width="7.5" bestFit="1" customWidth="1"/>
    <col min="50" max="50" width="4.83203125" bestFit="1" customWidth="1"/>
    <col min="51" max="51" width="7.5" bestFit="1" customWidth="1"/>
    <col min="52" max="52" width="4.83203125" bestFit="1" customWidth="1"/>
    <col min="53" max="53" width="7.5" bestFit="1" customWidth="1"/>
    <col min="54" max="54" width="4.83203125" bestFit="1" customWidth="1"/>
    <col min="55" max="55" width="7.5" bestFit="1" customWidth="1"/>
    <col min="56" max="56" width="4.83203125" bestFit="1" customWidth="1"/>
    <col min="57" max="57" width="7.5" bestFit="1" customWidth="1"/>
    <col min="58" max="58" width="4.83203125" bestFit="1" customWidth="1"/>
    <col min="59" max="59" width="7.5" bestFit="1" customWidth="1"/>
    <col min="60" max="60" width="4.83203125" bestFit="1" customWidth="1"/>
    <col min="61" max="61" width="7.5" bestFit="1" customWidth="1"/>
    <col min="62" max="62" width="4.83203125" bestFit="1" customWidth="1"/>
    <col min="63" max="63" width="7.5" bestFit="1" customWidth="1"/>
    <col min="64" max="64" width="4.83203125" bestFit="1" customWidth="1"/>
    <col min="65" max="65" width="7.5" bestFit="1" customWidth="1"/>
    <col min="66" max="66" width="4.83203125" bestFit="1" customWidth="1"/>
    <col min="67" max="67" width="7.5" bestFit="1" customWidth="1"/>
    <col min="68" max="68" width="4.83203125" bestFit="1" customWidth="1"/>
    <col min="69" max="69" width="7.5" bestFit="1" customWidth="1"/>
    <col min="70" max="70" width="4.83203125" bestFit="1" customWidth="1"/>
    <col min="71" max="71" width="7.5" bestFit="1" customWidth="1"/>
    <col min="72" max="72" width="4.83203125" bestFit="1" customWidth="1"/>
    <col min="73" max="73" width="7.5" bestFit="1" customWidth="1"/>
    <col min="74" max="74" width="4.83203125" bestFit="1" customWidth="1"/>
    <col min="75" max="75" width="7.5" bestFit="1" customWidth="1"/>
    <col min="76" max="76" width="4.83203125" bestFit="1" customWidth="1"/>
    <col min="77" max="77" width="7.5" bestFit="1" customWidth="1"/>
    <col min="78" max="78" width="4.83203125" bestFit="1" customWidth="1"/>
    <col min="79" max="79" width="7.5" bestFit="1" customWidth="1"/>
    <col min="80" max="80" width="4.83203125" bestFit="1" customWidth="1"/>
    <col min="81" max="81" width="7.5" bestFit="1" customWidth="1"/>
    <col min="82" max="82" width="4.83203125" bestFit="1" customWidth="1"/>
    <col min="83" max="83" width="7.5" bestFit="1" customWidth="1"/>
    <col min="84" max="84" width="4.83203125" bestFit="1" customWidth="1"/>
    <col min="85" max="85" width="7.5" bestFit="1" customWidth="1"/>
    <col min="86" max="86" width="4.83203125" bestFit="1" customWidth="1"/>
    <col min="87" max="87" width="7.5" bestFit="1" customWidth="1"/>
    <col min="88" max="88" width="4.83203125" bestFit="1" customWidth="1"/>
    <col min="89" max="89" width="7.5" bestFit="1" customWidth="1"/>
    <col min="90" max="90" width="4.83203125" bestFit="1" customWidth="1"/>
    <col min="91" max="91" width="7.5" bestFit="1" customWidth="1"/>
    <col min="92" max="92" width="4.83203125" bestFit="1" customWidth="1"/>
    <col min="93" max="93" width="7.5" bestFit="1" customWidth="1"/>
    <col min="94" max="94" width="4.83203125" bestFit="1" customWidth="1"/>
    <col min="95" max="95" width="7.5" bestFit="1" customWidth="1"/>
    <col min="96" max="96" width="4.83203125" bestFit="1" customWidth="1"/>
    <col min="97" max="97" width="7.5" bestFit="1" customWidth="1"/>
    <col min="98" max="98" width="4.83203125" bestFit="1" customWidth="1"/>
    <col min="99" max="99" width="7.5" bestFit="1" customWidth="1"/>
    <col min="100" max="100" width="4.83203125" bestFit="1" customWidth="1"/>
    <col min="101" max="101" width="7.5" bestFit="1" customWidth="1"/>
    <col min="102" max="102" width="4.83203125" bestFit="1" customWidth="1"/>
    <col min="103" max="103" width="7.5" bestFit="1" customWidth="1"/>
    <col min="104" max="104" width="4.83203125" bestFit="1" customWidth="1"/>
    <col min="105" max="105" width="7.5" bestFit="1" customWidth="1"/>
    <col min="106" max="106" width="4.83203125" bestFit="1" customWidth="1"/>
    <col min="107" max="107" width="7.5" bestFit="1" customWidth="1"/>
    <col min="108" max="108" width="4.83203125" bestFit="1" customWidth="1"/>
    <col min="109" max="109" width="7.5" bestFit="1" customWidth="1"/>
    <col min="110" max="110" width="4.83203125" bestFit="1" customWidth="1"/>
    <col min="111" max="111" width="7.5" bestFit="1" customWidth="1"/>
    <col min="112" max="112" width="4.83203125" bestFit="1" customWidth="1"/>
    <col min="113" max="113" width="7.5" bestFit="1" customWidth="1"/>
    <col min="114" max="114" width="4.83203125" bestFit="1" customWidth="1"/>
    <col min="115" max="115" width="7.5" bestFit="1" customWidth="1"/>
    <col min="116" max="116" width="4.83203125" bestFit="1" customWidth="1"/>
    <col min="117" max="117" width="7.5" bestFit="1" customWidth="1"/>
    <col min="118" max="118" width="4.83203125" bestFit="1" customWidth="1"/>
    <col min="119" max="119" width="7.5" bestFit="1" customWidth="1"/>
    <col min="120" max="120" width="4.83203125" bestFit="1" customWidth="1"/>
    <col min="121" max="121" width="7.5" bestFit="1" customWidth="1"/>
    <col min="122" max="122" width="4.83203125" bestFit="1" customWidth="1"/>
    <col min="123" max="123" width="7.5" bestFit="1" customWidth="1"/>
    <col min="124" max="124" width="4.83203125" bestFit="1" customWidth="1"/>
    <col min="125" max="125" width="7.5" bestFit="1" customWidth="1"/>
    <col min="126" max="126" width="4.83203125" bestFit="1" customWidth="1"/>
    <col min="127" max="127" width="7.5" bestFit="1" customWidth="1"/>
    <col min="128" max="128" width="4.83203125" bestFit="1" customWidth="1"/>
    <col min="129" max="129" width="7.5" bestFit="1" customWidth="1"/>
    <col min="130" max="130" width="4.83203125" bestFit="1" customWidth="1"/>
    <col min="131" max="131" width="7.5" bestFit="1" customWidth="1"/>
    <col min="132" max="132" width="4.83203125" bestFit="1" customWidth="1"/>
    <col min="133" max="133" width="7.5" bestFit="1" customWidth="1"/>
    <col min="134" max="134" width="4.83203125" bestFit="1" customWidth="1"/>
    <col min="135" max="135" width="7.5" bestFit="1" customWidth="1"/>
    <col min="136" max="136" width="4.83203125" bestFit="1" customWidth="1"/>
    <col min="137" max="137" width="7.5" bestFit="1" customWidth="1"/>
    <col min="138" max="138" width="4.83203125" bestFit="1" customWidth="1"/>
    <col min="139" max="139" width="7.5" bestFit="1" customWidth="1"/>
    <col min="140" max="140" width="4.83203125" bestFit="1" customWidth="1"/>
    <col min="141" max="141" width="7.5" bestFit="1" customWidth="1"/>
    <col min="142" max="142" width="4.83203125" bestFit="1" customWidth="1"/>
    <col min="143" max="143" width="7.5" bestFit="1" customWidth="1"/>
    <col min="144" max="144" width="4.83203125" bestFit="1" customWidth="1"/>
    <col min="145" max="145" width="7.5" bestFit="1" customWidth="1"/>
    <col min="146" max="146" width="4.83203125" bestFit="1" customWidth="1"/>
    <col min="147" max="147" width="7.5" bestFit="1" customWidth="1"/>
    <col min="148" max="148" width="4.83203125" bestFit="1" customWidth="1"/>
    <col min="149" max="149" width="7.5" bestFit="1" customWidth="1"/>
    <col min="150" max="150" width="4.83203125" bestFit="1" customWidth="1"/>
    <col min="151" max="151" width="7.5" bestFit="1" customWidth="1"/>
    <col min="152" max="152" width="4.83203125" bestFit="1" customWidth="1"/>
    <col min="153" max="153" width="7.5" bestFit="1" customWidth="1"/>
    <col min="154" max="154" width="4.83203125" bestFit="1" customWidth="1"/>
    <col min="155" max="155" width="7.5" bestFit="1" customWidth="1"/>
    <col min="156" max="156" width="4.83203125" bestFit="1" customWidth="1"/>
    <col min="157" max="157" width="7.5" bestFit="1" customWidth="1"/>
    <col min="158" max="158" width="4.83203125" bestFit="1" customWidth="1"/>
    <col min="159" max="159" width="7.5" bestFit="1" customWidth="1"/>
    <col min="160" max="160" width="4.83203125" bestFit="1" customWidth="1"/>
    <col min="161" max="161" width="7.5" bestFit="1" customWidth="1"/>
    <col min="162" max="162" width="4.83203125" bestFit="1" customWidth="1"/>
    <col min="163" max="163" width="7.5" bestFit="1" customWidth="1"/>
    <col min="164" max="164" width="4.83203125" bestFit="1" customWidth="1"/>
    <col min="165" max="165" width="7.5" bestFit="1" customWidth="1"/>
    <col min="166" max="166" width="4.83203125" bestFit="1" customWidth="1"/>
    <col min="167" max="167" width="7.5" bestFit="1" customWidth="1"/>
    <col min="168" max="168" width="4.83203125" bestFit="1" customWidth="1"/>
    <col min="169" max="169" width="7.5" bestFit="1" customWidth="1"/>
    <col min="170" max="170" width="4.83203125" bestFit="1" customWidth="1"/>
    <col min="171" max="171" width="7.5" bestFit="1" customWidth="1"/>
    <col min="172" max="172" width="4.83203125" bestFit="1" customWidth="1"/>
    <col min="173" max="173" width="7.5" bestFit="1" customWidth="1"/>
    <col min="174" max="174" width="4.83203125" bestFit="1" customWidth="1"/>
    <col min="175" max="175" width="7.5" bestFit="1" customWidth="1"/>
    <col min="176" max="176" width="4.83203125" bestFit="1" customWidth="1"/>
    <col min="177" max="177" width="7.5" bestFit="1" customWidth="1"/>
    <col min="178" max="178" width="4.83203125" bestFit="1" customWidth="1"/>
    <col min="179" max="179" width="7.5" bestFit="1" customWidth="1"/>
    <col min="180" max="180" width="4.83203125" bestFit="1" customWidth="1"/>
    <col min="181" max="181" width="7.5" bestFit="1" customWidth="1"/>
    <col min="182" max="182" width="4.83203125" bestFit="1" customWidth="1"/>
    <col min="183" max="183" width="7.5" bestFit="1" customWidth="1"/>
    <col min="184" max="184" width="4.83203125" bestFit="1" customWidth="1"/>
    <col min="185" max="185" width="7.5" bestFit="1" customWidth="1"/>
    <col min="186" max="186" width="4.83203125" bestFit="1" customWidth="1"/>
    <col min="187" max="187" width="7.5" bestFit="1" customWidth="1"/>
    <col min="188" max="188" width="4.83203125" bestFit="1" customWidth="1"/>
    <col min="189" max="189" width="7.5" bestFit="1" customWidth="1"/>
    <col min="190" max="190" width="4.83203125" bestFit="1" customWidth="1"/>
    <col min="191" max="191" width="7.5" bestFit="1" customWidth="1"/>
    <col min="192" max="192" width="4.83203125" bestFit="1" customWidth="1"/>
    <col min="193" max="193" width="7.5" bestFit="1" customWidth="1"/>
    <col min="194" max="194" width="4.83203125" bestFit="1" customWidth="1"/>
    <col min="195" max="195" width="7.5" bestFit="1" customWidth="1"/>
    <col min="196" max="196" width="4.83203125" bestFit="1" customWidth="1"/>
    <col min="197" max="197" width="7.5" bestFit="1" customWidth="1"/>
    <col min="198" max="198" width="4.83203125" bestFit="1" customWidth="1"/>
    <col min="199" max="199" width="7.5" bestFit="1" customWidth="1"/>
    <col min="200" max="200" width="4.83203125" bestFit="1" customWidth="1"/>
    <col min="201" max="201" width="7.5" bestFit="1" customWidth="1"/>
    <col min="202" max="202" width="4.83203125" bestFit="1" customWidth="1"/>
    <col min="203" max="203" width="7.5" bestFit="1" customWidth="1"/>
    <col min="204" max="204" width="4.83203125" bestFit="1" customWidth="1"/>
    <col min="205" max="205" width="7.5" bestFit="1" customWidth="1"/>
    <col min="206" max="206" width="5.83203125" bestFit="1" customWidth="1"/>
    <col min="207" max="207" width="8.5" bestFit="1" customWidth="1"/>
    <col min="208" max="208" width="5.83203125" bestFit="1" customWidth="1"/>
    <col min="209" max="209" width="8.5" bestFit="1" customWidth="1"/>
    <col min="210" max="210" width="5.83203125" bestFit="1" customWidth="1"/>
    <col min="211" max="211" width="8.5" bestFit="1" customWidth="1"/>
    <col min="212" max="212" width="5.83203125" bestFit="1" customWidth="1"/>
    <col min="213" max="213" width="8.5" bestFit="1" customWidth="1"/>
    <col min="214" max="214" width="5.83203125" bestFit="1" customWidth="1"/>
    <col min="215" max="215" width="8.5" bestFit="1" customWidth="1"/>
    <col min="216" max="216" width="5.83203125" bestFit="1" customWidth="1"/>
    <col min="217" max="217" width="8.5" bestFit="1" customWidth="1"/>
    <col min="218" max="218" width="5.83203125" bestFit="1" customWidth="1"/>
    <col min="219" max="219" width="8.5" bestFit="1" customWidth="1"/>
    <col min="220" max="220" width="5.83203125" bestFit="1" customWidth="1"/>
    <col min="221" max="221" width="8.5" bestFit="1" customWidth="1"/>
    <col min="222" max="222" width="5.83203125" bestFit="1" customWidth="1"/>
    <col min="223" max="223" width="8.5" bestFit="1" customWidth="1"/>
    <col min="224" max="224" width="5.83203125" bestFit="1" customWidth="1"/>
    <col min="225" max="225" width="8.5" bestFit="1" customWidth="1"/>
    <col min="226" max="226" width="5.83203125" bestFit="1" customWidth="1"/>
    <col min="227" max="227" width="8.5" bestFit="1" customWidth="1"/>
    <col min="228" max="228" width="5.83203125" bestFit="1" customWidth="1"/>
    <col min="229" max="229" width="8.5" bestFit="1" customWidth="1"/>
    <col min="230" max="230" width="5.83203125" bestFit="1" customWidth="1"/>
    <col min="231" max="231" width="8.5" bestFit="1" customWidth="1"/>
    <col min="232" max="232" width="5.83203125" bestFit="1" customWidth="1"/>
    <col min="233" max="233" width="8.5" bestFit="1" customWidth="1"/>
    <col min="234" max="234" width="5.83203125" bestFit="1" customWidth="1"/>
    <col min="235" max="235" width="8.5" bestFit="1" customWidth="1"/>
    <col min="236" max="236" width="5.83203125" bestFit="1" customWidth="1"/>
    <col min="237" max="237" width="8.5" bestFit="1" customWidth="1"/>
    <col min="238" max="238" width="5.83203125" bestFit="1" customWidth="1"/>
    <col min="239" max="239" width="8.5" bestFit="1" customWidth="1"/>
    <col min="240" max="240" width="5.83203125" bestFit="1" customWidth="1"/>
    <col min="241" max="241" width="8.5" bestFit="1" customWidth="1"/>
    <col min="242" max="242" width="5.83203125" bestFit="1" customWidth="1"/>
    <col min="243" max="243" width="8.5" bestFit="1" customWidth="1"/>
    <col min="244" max="244" width="5.83203125" bestFit="1" customWidth="1"/>
    <col min="245" max="245" width="8.5" bestFit="1" customWidth="1"/>
    <col min="246" max="246" width="5.83203125" bestFit="1" customWidth="1"/>
    <col min="247" max="247" width="8.5" bestFit="1" customWidth="1"/>
    <col min="248" max="248" width="5.83203125" bestFit="1" customWidth="1"/>
    <col min="249" max="249" width="8.5" bestFit="1" customWidth="1"/>
    <col min="250" max="250" width="5.83203125" bestFit="1" customWidth="1"/>
    <col min="251" max="251" width="8.5" bestFit="1" customWidth="1"/>
    <col min="252" max="252" width="5.83203125" bestFit="1" customWidth="1"/>
    <col min="253" max="253" width="8.5" bestFit="1" customWidth="1"/>
    <col min="254" max="254" width="5.83203125" bestFit="1" customWidth="1"/>
    <col min="255" max="255" width="8.5" bestFit="1" customWidth="1"/>
    <col min="256" max="256" width="5.83203125" bestFit="1" customWidth="1"/>
    <col min="257" max="257" width="8.5" bestFit="1" customWidth="1"/>
    <col min="258" max="258" width="5.83203125" bestFit="1" customWidth="1"/>
    <col min="259" max="259" width="8.5" bestFit="1" customWidth="1"/>
    <col min="260" max="260" width="5.83203125" bestFit="1" customWidth="1"/>
    <col min="261" max="261" width="8.5" bestFit="1" customWidth="1"/>
    <col min="262" max="262" width="5.83203125" bestFit="1" customWidth="1"/>
    <col min="263" max="263" width="8.5" bestFit="1" customWidth="1"/>
    <col min="264" max="264" width="5.83203125" bestFit="1" customWidth="1"/>
    <col min="265" max="265" width="8.5" bestFit="1" customWidth="1"/>
    <col min="266" max="266" width="5.83203125" bestFit="1" customWidth="1"/>
    <col min="267" max="267" width="8.5" bestFit="1" customWidth="1"/>
    <col min="268" max="268" width="5.83203125" bestFit="1" customWidth="1"/>
    <col min="269" max="269" width="8.5" bestFit="1" customWidth="1"/>
    <col min="270" max="270" width="5.83203125" bestFit="1" customWidth="1"/>
    <col min="271" max="271" width="8.5" bestFit="1" customWidth="1"/>
    <col min="272" max="272" width="5.83203125" bestFit="1" customWidth="1"/>
    <col min="273" max="273" width="8.5" bestFit="1" customWidth="1"/>
    <col min="274" max="274" width="5.83203125" bestFit="1" customWidth="1"/>
    <col min="275" max="275" width="8.5" bestFit="1" customWidth="1"/>
    <col min="276" max="276" width="5.83203125" bestFit="1" customWidth="1"/>
    <col min="277" max="277" width="8.5" bestFit="1" customWidth="1"/>
    <col min="278" max="278" width="5.83203125" bestFit="1" customWidth="1"/>
    <col min="279" max="279" width="8.5" bestFit="1" customWidth="1"/>
    <col min="280" max="280" width="5.83203125" bestFit="1" customWidth="1"/>
    <col min="281" max="281" width="8.5" bestFit="1" customWidth="1"/>
    <col min="282" max="282" width="5.83203125" bestFit="1" customWidth="1"/>
    <col min="283" max="283" width="8.5" bestFit="1" customWidth="1"/>
    <col min="284" max="284" width="5.83203125" bestFit="1" customWidth="1"/>
    <col min="285" max="285" width="8.5" bestFit="1" customWidth="1"/>
    <col min="286" max="286" width="5.83203125" bestFit="1" customWidth="1"/>
    <col min="287" max="287" width="8.5" bestFit="1" customWidth="1"/>
    <col min="288" max="288" width="5.83203125" bestFit="1" customWidth="1"/>
    <col min="289" max="289" width="8.5" bestFit="1" customWidth="1"/>
    <col min="290" max="290" width="5.83203125" bestFit="1" customWidth="1"/>
    <col min="291" max="291" width="8.5" bestFit="1" customWidth="1"/>
    <col min="292" max="292" width="5.83203125" bestFit="1" customWidth="1"/>
    <col min="293" max="293" width="8.5" bestFit="1" customWidth="1"/>
    <col min="294" max="294" width="5.83203125" bestFit="1" customWidth="1"/>
    <col min="295" max="295" width="8.5" bestFit="1" customWidth="1"/>
    <col min="296" max="296" width="5.83203125" bestFit="1" customWidth="1"/>
    <col min="297" max="297" width="8.5" bestFit="1" customWidth="1"/>
    <col min="298" max="298" width="5.83203125" bestFit="1" customWidth="1"/>
    <col min="299" max="299" width="8.5" bestFit="1" customWidth="1"/>
    <col min="300" max="300" width="5.83203125" bestFit="1" customWidth="1"/>
    <col min="301" max="301" width="8.5" bestFit="1" customWidth="1"/>
    <col min="302" max="302" width="5.83203125" bestFit="1" customWidth="1"/>
    <col min="303" max="303" width="8.5" bestFit="1" customWidth="1"/>
    <col min="304" max="304" width="5.83203125" bestFit="1" customWidth="1"/>
    <col min="305" max="305" width="8.5" bestFit="1" customWidth="1"/>
    <col min="306" max="306" width="5.83203125" bestFit="1" customWidth="1"/>
    <col min="307" max="307" width="8.5" bestFit="1" customWidth="1"/>
    <col min="308" max="308" width="5.83203125" bestFit="1" customWidth="1"/>
    <col min="309" max="309" width="8.5" bestFit="1" customWidth="1"/>
    <col min="310" max="310" width="5.83203125" bestFit="1" customWidth="1"/>
    <col min="311" max="311" width="8.5" bestFit="1" customWidth="1"/>
    <col min="312" max="312" width="5.83203125" bestFit="1" customWidth="1"/>
    <col min="313" max="313" width="8.5" bestFit="1" customWidth="1"/>
    <col min="314" max="314" width="5.83203125" bestFit="1" customWidth="1"/>
    <col min="315" max="315" width="8.5" bestFit="1" customWidth="1"/>
    <col min="316" max="316" width="5.83203125" bestFit="1" customWidth="1"/>
    <col min="317" max="317" width="8.5" bestFit="1" customWidth="1"/>
    <col min="318" max="318" width="5.83203125" bestFit="1" customWidth="1"/>
    <col min="319" max="319" width="8.5" bestFit="1" customWidth="1"/>
    <col min="320" max="320" width="5.83203125" bestFit="1" customWidth="1"/>
    <col min="321" max="321" width="8.5" bestFit="1" customWidth="1"/>
    <col min="322" max="322" width="5.83203125" bestFit="1" customWidth="1"/>
    <col min="323" max="323" width="8.5" bestFit="1" customWidth="1"/>
    <col min="324" max="324" width="5.83203125" bestFit="1" customWidth="1"/>
    <col min="325" max="325" width="8.5" bestFit="1" customWidth="1"/>
    <col min="326" max="326" width="5.83203125" bestFit="1" customWidth="1"/>
    <col min="327" max="327" width="8.5" bestFit="1" customWidth="1"/>
    <col min="328" max="328" width="5.83203125" bestFit="1" customWidth="1"/>
    <col min="329" max="329" width="8.5" bestFit="1" customWidth="1"/>
    <col min="330" max="330" width="5.83203125" bestFit="1" customWidth="1"/>
    <col min="331" max="331" width="8.5" bestFit="1" customWidth="1"/>
    <col min="332" max="332" width="5.83203125" bestFit="1" customWidth="1"/>
    <col min="333" max="333" width="8.5" bestFit="1" customWidth="1"/>
    <col min="334" max="334" width="5.83203125" bestFit="1" customWidth="1"/>
    <col min="335" max="335" width="8.5" bestFit="1" customWidth="1"/>
    <col min="336" max="336" width="5.83203125" bestFit="1" customWidth="1"/>
    <col min="337" max="337" width="8.5" bestFit="1" customWidth="1"/>
    <col min="338" max="338" width="5.83203125" bestFit="1" customWidth="1"/>
    <col min="339" max="339" width="8.5" bestFit="1" customWidth="1"/>
    <col min="340" max="340" width="5.83203125" bestFit="1" customWidth="1"/>
    <col min="341" max="341" width="8.5" bestFit="1" customWidth="1"/>
    <col min="342" max="342" width="5.83203125" bestFit="1" customWidth="1"/>
    <col min="343" max="343" width="8.5" bestFit="1" customWidth="1"/>
    <col min="344" max="344" width="5.83203125" bestFit="1" customWidth="1"/>
    <col min="345" max="345" width="8.5" bestFit="1" customWidth="1"/>
    <col min="346" max="346" width="5.83203125" bestFit="1" customWidth="1"/>
    <col min="347" max="347" width="8.5" bestFit="1" customWidth="1"/>
    <col min="348" max="348" width="5.83203125" bestFit="1" customWidth="1"/>
    <col min="349" max="349" width="8.5" bestFit="1" customWidth="1"/>
    <col min="350" max="350" width="5.83203125" bestFit="1" customWidth="1"/>
    <col min="351" max="351" width="8.5" bestFit="1" customWidth="1"/>
    <col min="352" max="352" width="5.83203125" bestFit="1" customWidth="1"/>
    <col min="353" max="353" width="8.5" bestFit="1" customWidth="1"/>
    <col min="354" max="354" width="5.83203125" bestFit="1" customWidth="1"/>
    <col min="355" max="355" width="8.5" bestFit="1" customWidth="1"/>
    <col min="356" max="356" width="5.83203125" bestFit="1" customWidth="1"/>
    <col min="357" max="357" width="8.5" bestFit="1" customWidth="1"/>
    <col min="358" max="358" width="5.83203125" bestFit="1" customWidth="1"/>
    <col min="359" max="359" width="8.5" bestFit="1" customWidth="1"/>
    <col min="360" max="360" width="5.83203125" bestFit="1" customWidth="1"/>
    <col min="361" max="361" width="8.5" bestFit="1" customWidth="1"/>
    <col min="362" max="362" width="5.83203125" bestFit="1" customWidth="1"/>
    <col min="363" max="363" width="8.5" bestFit="1" customWidth="1"/>
    <col min="364" max="364" width="5.83203125" bestFit="1" customWidth="1"/>
    <col min="365" max="365" width="8.5" bestFit="1" customWidth="1"/>
    <col min="366" max="366" width="5.83203125" bestFit="1" customWidth="1"/>
    <col min="367" max="367" width="8.5" bestFit="1" customWidth="1"/>
    <col min="368" max="368" width="5.83203125" bestFit="1" customWidth="1"/>
    <col min="369" max="369" width="8.5" bestFit="1" customWidth="1"/>
    <col min="370" max="370" width="5.83203125" bestFit="1" customWidth="1"/>
    <col min="371" max="371" width="8.5" bestFit="1" customWidth="1"/>
    <col min="372" max="372" width="5.83203125" bestFit="1" customWidth="1"/>
    <col min="373" max="373" width="8.5" bestFit="1" customWidth="1"/>
    <col min="374" max="374" width="5.83203125" bestFit="1" customWidth="1"/>
    <col min="375" max="375" width="8.5" bestFit="1" customWidth="1"/>
    <col min="376" max="376" width="5.83203125" bestFit="1" customWidth="1"/>
    <col min="377" max="377" width="8.5" bestFit="1" customWidth="1"/>
    <col min="378" max="378" width="5.83203125" bestFit="1" customWidth="1"/>
    <col min="379" max="379" width="8.5" bestFit="1" customWidth="1"/>
    <col min="380" max="380" width="5.83203125" bestFit="1" customWidth="1"/>
    <col min="381" max="381" width="8.5" bestFit="1" customWidth="1"/>
    <col min="382" max="382" width="5.83203125" bestFit="1" customWidth="1"/>
    <col min="383" max="383" width="8.5" bestFit="1" customWidth="1"/>
    <col min="384" max="384" width="5.83203125" bestFit="1" customWidth="1"/>
    <col min="385" max="385" width="8.5" bestFit="1" customWidth="1"/>
    <col min="386" max="386" width="5.83203125" bestFit="1" customWidth="1"/>
    <col min="387" max="387" width="8.5" bestFit="1" customWidth="1"/>
    <col min="388" max="388" width="5.83203125" bestFit="1" customWidth="1"/>
    <col min="389" max="389" width="8.5" bestFit="1" customWidth="1"/>
    <col min="390" max="390" width="5.83203125" bestFit="1" customWidth="1"/>
    <col min="391" max="391" width="8.5" bestFit="1" customWidth="1"/>
    <col min="392" max="392" width="5.83203125" bestFit="1" customWidth="1"/>
    <col min="393" max="393" width="8.5" bestFit="1" customWidth="1"/>
    <col min="394" max="394" width="5.83203125" bestFit="1" customWidth="1"/>
    <col min="395" max="395" width="8.5" bestFit="1" customWidth="1"/>
    <col min="396" max="396" width="5.83203125" bestFit="1" customWidth="1"/>
    <col min="397" max="397" width="8.5" bestFit="1" customWidth="1"/>
    <col min="398" max="398" width="5.83203125" bestFit="1" customWidth="1"/>
    <col min="399" max="399" width="8.5" bestFit="1" customWidth="1"/>
    <col min="400" max="400" width="5.83203125" bestFit="1" customWidth="1"/>
    <col min="401" max="401" width="8.5" bestFit="1" customWidth="1"/>
    <col min="402" max="402" width="5.83203125" bestFit="1" customWidth="1"/>
    <col min="403" max="403" width="8.5" bestFit="1" customWidth="1"/>
    <col min="404" max="404" width="5.83203125" bestFit="1" customWidth="1"/>
    <col min="405" max="405" width="8.5" bestFit="1" customWidth="1"/>
    <col min="406" max="406" width="5.83203125" bestFit="1" customWidth="1"/>
    <col min="407" max="407" width="8.5" bestFit="1" customWidth="1"/>
    <col min="408" max="408" width="5.83203125" bestFit="1" customWidth="1"/>
    <col min="409" max="409" width="8.5" bestFit="1" customWidth="1"/>
    <col min="410" max="410" width="5.83203125" bestFit="1" customWidth="1"/>
    <col min="411" max="411" width="8.5" bestFit="1" customWidth="1"/>
    <col min="412" max="412" width="5.83203125" bestFit="1" customWidth="1"/>
    <col min="413" max="413" width="8.5" bestFit="1" customWidth="1"/>
    <col min="414" max="414" width="5.83203125" bestFit="1" customWidth="1"/>
    <col min="415" max="415" width="8.5" bestFit="1" customWidth="1"/>
    <col min="416" max="416" width="5.83203125" bestFit="1" customWidth="1"/>
    <col min="417" max="417" width="8.5" bestFit="1" customWidth="1"/>
    <col min="418" max="418" width="5.83203125" bestFit="1" customWidth="1"/>
    <col min="419" max="419" width="8.5" bestFit="1" customWidth="1"/>
    <col min="420" max="420" width="5.83203125" bestFit="1" customWidth="1"/>
    <col min="421" max="421" width="8.5" bestFit="1" customWidth="1"/>
    <col min="422" max="422" width="5.83203125" bestFit="1" customWidth="1"/>
    <col min="423" max="423" width="8.5" bestFit="1" customWidth="1"/>
    <col min="424" max="424" width="5.83203125" bestFit="1" customWidth="1"/>
    <col min="425" max="425" width="8.5" bestFit="1" customWidth="1"/>
    <col min="426" max="426" width="5.83203125" bestFit="1" customWidth="1"/>
    <col min="427" max="427" width="8.5" bestFit="1" customWidth="1"/>
    <col min="428" max="428" width="5.83203125" bestFit="1" customWidth="1"/>
    <col min="429" max="429" width="8.5" bestFit="1" customWidth="1"/>
    <col min="430" max="430" width="5.83203125" bestFit="1" customWidth="1"/>
    <col min="431" max="431" width="8.5" bestFit="1" customWidth="1"/>
    <col min="432" max="432" width="5.83203125" bestFit="1" customWidth="1"/>
    <col min="433" max="433" width="8.5" bestFit="1" customWidth="1"/>
    <col min="434" max="434" width="5.83203125" bestFit="1" customWidth="1"/>
    <col min="435" max="435" width="8.5" bestFit="1" customWidth="1"/>
    <col min="436" max="436" width="5.83203125" bestFit="1" customWidth="1"/>
    <col min="437" max="437" width="8.5" bestFit="1" customWidth="1"/>
    <col min="438" max="438" width="5.83203125" bestFit="1" customWidth="1"/>
    <col min="439" max="439" width="8.5" bestFit="1" customWidth="1"/>
    <col min="440" max="440" width="5.83203125" bestFit="1" customWidth="1"/>
    <col min="441" max="441" width="8.5" bestFit="1" customWidth="1"/>
    <col min="442" max="442" width="5.83203125" bestFit="1" customWidth="1"/>
    <col min="443" max="443" width="8.5" bestFit="1" customWidth="1"/>
    <col min="444" max="444" width="5.83203125" bestFit="1" customWidth="1"/>
    <col min="445" max="445" width="8.5" bestFit="1" customWidth="1"/>
    <col min="446" max="446" width="5.83203125" bestFit="1" customWidth="1"/>
    <col min="447" max="447" width="8.5" bestFit="1" customWidth="1"/>
    <col min="448" max="448" width="5.83203125" bestFit="1" customWidth="1"/>
    <col min="449" max="449" width="8.5" bestFit="1" customWidth="1"/>
    <col min="450" max="450" width="5.83203125" bestFit="1" customWidth="1"/>
    <col min="451" max="451" width="8.5" bestFit="1" customWidth="1"/>
    <col min="452" max="452" width="5.83203125" bestFit="1" customWidth="1"/>
    <col min="453" max="453" width="8.5" bestFit="1" customWidth="1"/>
    <col min="454" max="454" width="5.83203125" bestFit="1" customWidth="1"/>
    <col min="455" max="455" width="8.5" bestFit="1" customWidth="1"/>
    <col min="456" max="456" width="5.83203125" bestFit="1" customWidth="1"/>
    <col min="457" max="457" width="8.5" bestFit="1" customWidth="1"/>
    <col min="458" max="458" width="5.83203125" bestFit="1" customWidth="1"/>
    <col min="459" max="459" width="8.5" bestFit="1" customWidth="1"/>
    <col min="460" max="460" width="5.83203125" bestFit="1" customWidth="1"/>
    <col min="461" max="461" width="8.5" bestFit="1" customWidth="1"/>
    <col min="462" max="462" width="5.83203125" bestFit="1" customWidth="1"/>
    <col min="463" max="463" width="8.5" bestFit="1" customWidth="1"/>
    <col min="464" max="464" width="5.83203125" bestFit="1" customWidth="1"/>
    <col min="465" max="465" width="8.5" bestFit="1" customWidth="1"/>
    <col min="466" max="466" width="5.83203125" bestFit="1" customWidth="1"/>
    <col min="467" max="467" width="8.5" bestFit="1" customWidth="1"/>
    <col min="468" max="468" width="5.83203125" bestFit="1" customWidth="1"/>
    <col min="469" max="469" width="8.5" bestFit="1" customWidth="1"/>
    <col min="470" max="470" width="5.83203125" bestFit="1" customWidth="1"/>
    <col min="471" max="471" width="8.5" bestFit="1" customWidth="1"/>
    <col min="472" max="472" width="5.83203125" bestFit="1" customWidth="1"/>
    <col min="473" max="473" width="8.5" bestFit="1" customWidth="1"/>
    <col min="474" max="474" width="5.83203125" bestFit="1" customWidth="1"/>
    <col min="475" max="475" width="8.5" bestFit="1" customWidth="1"/>
    <col min="476" max="476" width="5.83203125" bestFit="1" customWidth="1"/>
    <col min="477" max="477" width="8.5" bestFit="1" customWidth="1"/>
    <col min="478" max="478" width="5.83203125" bestFit="1" customWidth="1"/>
    <col min="479" max="479" width="8.5" bestFit="1" customWidth="1"/>
    <col min="480" max="480" width="5.83203125" bestFit="1" customWidth="1"/>
    <col min="481" max="481" width="8.5" bestFit="1" customWidth="1"/>
    <col min="482" max="482" width="5.83203125" bestFit="1" customWidth="1"/>
    <col min="483" max="483" width="8.5" bestFit="1" customWidth="1"/>
    <col min="484" max="484" width="5.83203125" bestFit="1" customWidth="1"/>
    <col min="485" max="485" width="8.5" bestFit="1" customWidth="1"/>
    <col min="486" max="486" width="5.83203125" bestFit="1" customWidth="1"/>
    <col min="487" max="487" width="8.5" bestFit="1" customWidth="1"/>
    <col min="488" max="488" width="5.83203125" bestFit="1" customWidth="1"/>
    <col min="489" max="489" width="8.5" bestFit="1" customWidth="1"/>
    <col min="490" max="490" width="5.83203125" bestFit="1" customWidth="1"/>
    <col min="491" max="491" width="8.5" bestFit="1" customWidth="1"/>
    <col min="492" max="492" width="5.83203125" bestFit="1" customWidth="1"/>
    <col min="493" max="493" width="8.5" bestFit="1" customWidth="1"/>
    <col min="494" max="494" width="5.83203125" bestFit="1" customWidth="1"/>
    <col min="495" max="495" width="8.5" bestFit="1" customWidth="1"/>
    <col min="496" max="496" width="5.83203125" bestFit="1" customWidth="1"/>
    <col min="497" max="497" width="8.5" bestFit="1" customWidth="1"/>
    <col min="498" max="498" width="5.83203125" bestFit="1" customWidth="1"/>
    <col min="499" max="499" width="8.5" bestFit="1" customWidth="1"/>
    <col min="500" max="500" width="5.83203125" bestFit="1" customWidth="1"/>
    <col min="501" max="501" width="8.5" bestFit="1" customWidth="1"/>
    <col min="502" max="502" width="5.83203125" bestFit="1" customWidth="1"/>
    <col min="503" max="503" width="8.5" bestFit="1" customWidth="1"/>
    <col min="504" max="504" width="5.83203125" bestFit="1" customWidth="1"/>
    <col min="505" max="505" width="8.5" bestFit="1" customWidth="1"/>
    <col min="506" max="506" width="5.83203125" bestFit="1" customWidth="1"/>
    <col min="507" max="507" width="8.5" bestFit="1" customWidth="1"/>
    <col min="508" max="508" width="5.83203125" bestFit="1" customWidth="1"/>
    <col min="509" max="509" width="8.5" bestFit="1" customWidth="1"/>
    <col min="510" max="510" width="5.83203125" bestFit="1" customWidth="1"/>
    <col min="511" max="511" width="8.5" bestFit="1" customWidth="1"/>
    <col min="512" max="512" width="5.83203125" bestFit="1" customWidth="1"/>
    <col min="513" max="513" width="8.5" bestFit="1" customWidth="1"/>
    <col min="514" max="514" width="5.83203125" bestFit="1" customWidth="1"/>
    <col min="515" max="515" width="8.5" bestFit="1" customWidth="1"/>
    <col min="516" max="516" width="5.83203125" bestFit="1" customWidth="1"/>
    <col min="517" max="517" width="8.5" bestFit="1" customWidth="1"/>
    <col min="518" max="518" width="5.83203125" bestFit="1" customWidth="1"/>
    <col min="519" max="519" width="8.5" bestFit="1" customWidth="1"/>
    <col min="520" max="520" width="5.83203125" bestFit="1" customWidth="1"/>
    <col min="521" max="521" width="8.5" bestFit="1" customWidth="1"/>
    <col min="522" max="522" width="5.83203125" bestFit="1" customWidth="1"/>
    <col min="523" max="523" width="8.5" bestFit="1" customWidth="1"/>
    <col min="524" max="524" width="5.83203125" bestFit="1" customWidth="1"/>
    <col min="525" max="525" width="8.5" bestFit="1" customWidth="1"/>
    <col min="526" max="526" width="5.83203125" bestFit="1" customWidth="1"/>
    <col min="527" max="527" width="8.5" bestFit="1" customWidth="1"/>
    <col min="528" max="528" width="5.83203125" bestFit="1" customWidth="1"/>
    <col min="529" max="529" width="8.5" bestFit="1" customWidth="1"/>
    <col min="530" max="530" width="5.83203125" bestFit="1" customWidth="1"/>
    <col min="531" max="531" width="8.5" bestFit="1" customWidth="1"/>
    <col min="532" max="532" width="5.83203125" bestFit="1" customWidth="1"/>
    <col min="533" max="533" width="8.5" bestFit="1" customWidth="1"/>
    <col min="534" max="534" width="5.83203125" bestFit="1" customWidth="1"/>
    <col min="535" max="535" width="8.5" bestFit="1" customWidth="1"/>
    <col min="536" max="536" width="5.83203125" bestFit="1" customWidth="1"/>
    <col min="537" max="537" width="8.5" bestFit="1" customWidth="1"/>
    <col min="538" max="538" width="5.83203125" bestFit="1" customWidth="1"/>
    <col min="539" max="539" width="8.5" bestFit="1" customWidth="1"/>
    <col min="540" max="540" width="5.83203125" bestFit="1" customWidth="1"/>
    <col min="541" max="541" width="8.5" bestFit="1" customWidth="1"/>
    <col min="542" max="542" width="5.83203125" bestFit="1" customWidth="1"/>
    <col min="543" max="543" width="8.5" bestFit="1" customWidth="1"/>
    <col min="544" max="544" width="5.83203125" bestFit="1" customWidth="1"/>
    <col min="545" max="545" width="8.5" bestFit="1" customWidth="1"/>
    <col min="546" max="546" width="5.83203125" bestFit="1" customWidth="1"/>
    <col min="547" max="547" width="8.5" bestFit="1" customWidth="1"/>
    <col min="548" max="548" width="5.83203125" bestFit="1" customWidth="1"/>
    <col min="549" max="549" width="8.5" bestFit="1" customWidth="1"/>
    <col min="550" max="550" width="5.83203125" bestFit="1" customWidth="1"/>
    <col min="551" max="551" width="8.5" bestFit="1" customWidth="1"/>
    <col min="552" max="552" width="5.83203125" bestFit="1" customWidth="1"/>
    <col min="553" max="553" width="8.5" bestFit="1" customWidth="1"/>
    <col min="554" max="554" width="5.83203125" bestFit="1" customWidth="1"/>
    <col min="555" max="555" width="8.5" bestFit="1" customWidth="1"/>
    <col min="556" max="556" width="5.83203125" bestFit="1" customWidth="1"/>
    <col min="557" max="557" width="8.5" bestFit="1" customWidth="1"/>
    <col min="558" max="558" width="5.83203125" bestFit="1" customWidth="1"/>
    <col min="559" max="559" width="8.5" bestFit="1" customWidth="1"/>
    <col min="560" max="560" width="5.83203125" bestFit="1" customWidth="1"/>
    <col min="561" max="561" width="8.5" bestFit="1" customWidth="1"/>
    <col min="562" max="562" width="5.83203125" bestFit="1" customWidth="1"/>
    <col min="563" max="563" width="8.5" bestFit="1" customWidth="1"/>
    <col min="564" max="564" width="5.83203125" bestFit="1" customWidth="1"/>
    <col min="565" max="565" width="8.5" bestFit="1" customWidth="1"/>
    <col min="566" max="566" width="5.83203125" bestFit="1" customWidth="1"/>
    <col min="567" max="567" width="8.5" bestFit="1" customWidth="1"/>
    <col min="568" max="568" width="5.83203125" bestFit="1" customWidth="1"/>
    <col min="569" max="569" width="8.5" bestFit="1" customWidth="1"/>
    <col min="570" max="570" width="5.83203125" bestFit="1" customWidth="1"/>
    <col min="571" max="571" width="8.5" bestFit="1" customWidth="1"/>
    <col min="572" max="572" width="5.83203125" bestFit="1" customWidth="1"/>
    <col min="573" max="573" width="8.5" bestFit="1" customWidth="1"/>
    <col min="574" max="574" width="5.83203125" bestFit="1" customWidth="1"/>
    <col min="575" max="575" width="8.5" bestFit="1" customWidth="1"/>
    <col min="576" max="576" width="5.83203125" bestFit="1" customWidth="1"/>
    <col min="577" max="577" width="8.5" bestFit="1" customWidth="1"/>
    <col min="578" max="578" width="5.83203125" bestFit="1" customWidth="1"/>
    <col min="579" max="579" width="8.5" bestFit="1" customWidth="1"/>
    <col min="580" max="580" width="5.83203125" bestFit="1" customWidth="1"/>
    <col min="581" max="581" width="8.5" bestFit="1" customWidth="1"/>
    <col min="582" max="582" width="5.83203125" bestFit="1" customWidth="1"/>
    <col min="583" max="583" width="8.5" bestFit="1" customWidth="1"/>
    <col min="584" max="584" width="5.83203125" bestFit="1" customWidth="1"/>
    <col min="585" max="585" width="8.5" bestFit="1" customWidth="1"/>
    <col min="586" max="586" width="5.83203125" bestFit="1" customWidth="1"/>
    <col min="587" max="587" width="8.5" bestFit="1" customWidth="1"/>
    <col min="588" max="588" width="5.83203125" bestFit="1" customWidth="1"/>
    <col min="589" max="589" width="8.5" bestFit="1" customWidth="1"/>
    <col min="590" max="590" width="5.83203125" bestFit="1" customWidth="1"/>
    <col min="591" max="591" width="8.5" bestFit="1" customWidth="1"/>
    <col min="592" max="592" width="5.83203125" bestFit="1" customWidth="1"/>
    <col min="593" max="593" width="8.5" bestFit="1" customWidth="1"/>
    <col min="594" max="594" width="5.83203125" bestFit="1" customWidth="1"/>
    <col min="595" max="595" width="8.5" bestFit="1" customWidth="1"/>
    <col min="596" max="596" width="5.83203125" bestFit="1" customWidth="1"/>
    <col min="597" max="597" width="8.5" bestFit="1" customWidth="1"/>
    <col min="598" max="598" width="5.83203125" bestFit="1" customWidth="1"/>
    <col min="599" max="599" width="8.5" bestFit="1" customWidth="1"/>
    <col min="600" max="600" width="5.83203125" bestFit="1" customWidth="1"/>
    <col min="601" max="601" width="8.5" bestFit="1" customWidth="1"/>
    <col min="602" max="602" width="5.83203125" bestFit="1" customWidth="1"/>
    <col min="603" max="603" width="8.5" bestFit="1" customWidth="1"/>
    <col min="604" max="604" width="5.83203125" bestFit="1" customWidth="1"/>
    <col min="605" max="605" width="8.5" bestFit="1" customWidth="1"/>
    <col min="606" max="606" width="5.83203125" bestFit="1" customWidth="1"/>
    <col min="607" max="607" width="8.5" bestFit="1" customWidth="1"/>
    <col min="608" max="608" width="5.83203125" bestFit="1" customWidth="1"/>
    <col min="609" max="609" width="8.5" bestFit="1" customWidth="1"/>
    <col min="610" max="610" width="5.83203125" bestFit="1" customWidth="1"/>
    <col min="611" max="611" width="8.5" bestFit="1" customWidth="1"/>
    <col min="612" max="612" width="5.83203125" bestFit="1" customWidth="1"/>
    <col min="613" max="613" width="8.5" bestFit="1" customWidth="1"/>
    <col min="614" max="614" width="5.83203125" bestFit="1" customWidth="1"/>
    <col min="615" max="615" width="8.5" bestFit="1" customWidth="1"/>
    <col min="616" max="616" width="5.83203125" bestFit="1" customWidth="1"/>
    <col min="617" max="617" width="8.5" bestFit="1" customWidth="1"/>
    <col min="618" max="618" width="5.83203125" bestFit="1" customWidth="1"/>
    <col min="619" max="619" width="8.5" bestFit="1" customWidth="1"/>
    <col min="620" max="620" width="5.83203125" bestFit="1" customWidth="1"/>
    <col min="621" max="621" width="8.5" bestFit="1" customWidth="1"/>
    <col min="622" max="622" width="5.83203125" bestFit="1" customWidth="1"/>
    <col min="623" max="623" width="8.5" bestFit="1" customWidth="1"/>
    <col min="624" max="624" width="5.83203125" bestFit="1" customWidth="1"/>
    <col min="625" max="625" width="8.5" bestFit="1" customWidth="1"/>
    <col min="626" max="626" width="5.83203125" bestFit="1" customWidth="1"/>
    <col min="627" max="627" width="8.5" bestFit="1" customWidth="1"/>
    <col min="628" max="628" width="5.83203125" bestFit="1" customWidth="1"/>
    <col min="629" max="629" width="8.5" bestFit="1" customWidth="1"/>
    <col min="630" max="630" width="5.83203125" bestFit="1" customWidth="1"/>
    <col min="631" max="631" width="8.5" bestFit="1" customWidth="1"/>
    <col min="632" max="632" width="5.83203125" bestFit="1" customWidth="1"/>
    <col min="633" max="633" width="8.5" bestFit="1" customWidth="1"/>
    <col min="634" max="634" width="5.83203125" bestFit="1" customWidth="1"/>
    <col min="635" max="635" width="8.5" bestFit="1" customWidth="1"/>
    <col min="636" max="636" width="5.83203125" bestFit="1" customWidth="1"/>
    <col min="637" max="637" width="8.5" bestFit="1" customWidth="1"/>
    <col min="638" max="638" width="5.83203125" bestFit="1" customWidth="1"/>
    <col min="639" max="639" width="8.5" bestFit="1" customWidth="1"/>
    <col min="640" max="640" width="5.83203125" bestFit="1" customWidth="1"/>
    <col min="641" max="641" width="8.5" bestFit="1" customWidth="1"/>
    <col min="642" max="642" width="5.83203125" bestFit="1" customWidth="1"/>
    <col min="643" max="643" width="8.5" bestFit="1" customWidth="1"/>
    <col min="644" max="644" width="5.83203125" bestFit="1" customWidth="1"/>
    <col min="645" max="645" width="8.5" bestFit="1" customWidth="1"/>
    <col min="646" max="646" width="5.83203125" bestFit="1" customWidth="1"/>
    <col min="647" max="647" width="8.5" bestFit="1" customWidth="1"/>
    <col min="648" max="648" width="5.83203125" bestFit="1" customWidth="1"/>
    <col min="649" max="649" width="8.5" bestFit="1" customWidth="1"/>
    <col min="650" max="650" width="5.83203125" bestFit="1" customWidth="1"/>
    <col min="651" max="651" width="8.5" bestFit="1" customWidth="1"/>
    <col min="652" max="652" width="5.83203125" bestFit="1" customWidth="1"/>
    <col min="653" max="653" width="8.5" bestFit="1" customWidth="1"/>
    <col min="654" max="654" width="5.83203125" bestFit="1" customWidth="1"/>
    <col min="655" max="655" width="8.5" bestFit="1" customWidth="1"/>
    <col min="656" max="656" width="5.83203125" bestFit="1" customWidth="1"/>
    <col min="657" max="657" width="8.5" bestFit="1" customWidth="1"/>
    <col min="658" max="658" width="5.83203125" bestFit="1" customWidth="1"/>
    <col min="659" max="659" width="8.5" bestFit="1" customWidth="1"/>
    <col min="660" max="660" width="5.83203125" bestFit="1" customWidth="1"/>
    <col min="661" max="661" width="8.5" bestFit="1" customWidth="1"/>
    <col min="662" max="662" width="5.83203125" bestFit="1" customWidth="1"/>
    <col min="663" max="663" width="8.5" bestFit="1" customWidth="1"/>
    <col min="664" max="664" width="5.83203125" bestFit="1" customWidth="1"/>
    <col min="665" max="665" width="8.5" bestFit="1" customWidth="1"/>
    <col min="666" max="666" width="5.83203125" bestFit="1" customWidth="1"/>
    <col min="667" max="667" width="8.5" bestFit="1" customWidth="1"/>
    <col min="668" max="668" width="5.83203125" bestFit="1" customWidth="1"/>
    <col min="669" max="669" width="8.5" bestFit="1" customWidth="1"/>
    <col min="670" max="670" width="5.83203125" bestFit="1" customWidth="1"/>
    <col min="671" max="671" width="8.5" bestFit="1" customWidth="1"/>
    <col min="672" max="672" width="5.83203125" bestFit="1" customWidth="1"/>
    <col min="673" max="673" width="8.5" bestFit="1" customWidth="1"/>
    <col min="674" max="674" width="5.83203125" bestFit="1" customWidth="1"/>
    <col min="675" max="675" width="8.5" bestFit="1" customWidth="1"/>
    <col min="676" max="676" width="5.83203125" bestFit="1" customWidth="1"/>
    <col min="677" max="677" width="8.5" bestFit="1" customWidth="1"/>
    <col min="678" max="678" width="5.83203125" bestFit="1" customWidth="1"/>
    <col min="679" max="679" width="8.5" bestFit="1" customWidth="1"/>
    <col min="680" max="680" width="5.83203125" bestFit="1" customWidth="1"/>
    <col min="681" max="681" width="8.5" bestFit="1" customWidth="1"/>
    <col min="682" max="682" width="5.83203125" bestFit="1" customWidth="1"/>
    <col min="683" max="683" width="8.5" bestFit="1" customWidth="1"/>
    <col min="684" max="684" width="5.83203125" bestFit="1" customWidth="1"/>
    <col min="685" max="685" width="8.5" bestFit="1" customWidth="1"/>
    <col min="686" max="686" width="5.83203125" bestFit="1" customWidth="1"/>
    <col min="687" max="687" width="8.5" bestFit="1" customWidth="1"/>
    <col min="688" max="688" width="5.83203125" bestFit="1" customWidth="1"/>
    <col min="689" max="689" width="8.5" bestFit="1" customWidth="1"/>
    <col min="690" max="690" width="5.83203125" bestFit="1" customWidth="1"/>
    <col min="691" max="691" width="8.5" bestFit="1" customWidth="1"/>
    <col min="692" max="692" width="5.83203125" bestFit="1" customWidth="1"/>
    <col min="693" max="693" width="8.5" bestFit="1" customWidth="1"/>
    <col min="694" max="694" width="5.83203125" bestFit="1" customWidth="1"/>
    <col min="695" max="695" width="8.5" bestFit="1" customWidth="1"/>
    <col min="696" max="696" width="5.83203125" bestFit="1" customWidth="1"/>
    <col min="697" max="697" width="8.5" bestFit="1" customWidth="1"/>
    <col min="698" max="698" width="5.83203125" bestFit="1" customWidth="1"/>
    <col min="699" max="699" width="8.5" bestFit="1" customWidth="1"/>
    <col min="700" max="700" width="5.83203125" bestFit="1" customWidth="1"/>
    <col min="701" max="701" width="8.5" bestFit="1" customWidth="1"/>
    <col min="702" max="702" width="5.83203125" bestFit="1" customWidth="1"/>
    <col min="703" max="703" width="8.5" bestFit="1" customWidth="1"/>
    <col min="704" max="704" width="5.83203125" bestFit="1" customWidth="1"/>
    <col min="705" max="705" width="8.5" bestFit="1" customWidth="1"/>
    <col min="706" max="706" width="5.83203125" bestFit="1" customWidth="1"/>
    <col min="707" max="707" width="8.5" bestFit="1" customWidth="1"/>
    <col min="708" max="708" width="5.83203125" bestFit="1" customWidth="1"/>
    <col min="709" max="709" width="8.5" bestFit="1" customWidth="1"/>
    <col min="710" max="710" width="5.83203125" bestFit="1" customWidth="1"/>
    <col min="711" max="711" width="8.5" bestFit="1" customWidth="1"/>
    <col min="712" max="712" width="5.83203125" bestFit="1" customWidth="1"/>
    <col min="713" max="713" width="8.5" bestFit="1" customWidth="1"/>
    <col min="714" max="714" width="5.83203125" bestFit="1" customWidth="1"/>
    <col min="715" max="715" width="8.5" bestFit="1" customWidth="1"/>
    <col min="716" max="716" width="5.83203125" bestFit="1" customWidth="1"/>
    <col min="717" max="717" width="8.5" bestFit="1" customWidth="1"/>
    <col min="718" max="718" width="5.83203125" bestFit="1" customWidth="1"/>
    <col min="719" max="719" width="8.5" bestFit="1" customWidth="1"/>
    <col min="720" max="720" width="5.83203125" bestFit="1" customWidth="1"/>
    <col min="721" max="721" width="8.5" bestFit="1" customWidth="1"/>
    <col min="722" max="722" width="5.83203125" bestFit="1" customWidth="1"/>
    <col min="723" max="723" width="8.5" bestFit="1" customWidth="1"/>
    <col min="724" max="724" width="5.83203125" bestFit="1" customWidth="1"/>
    <col min="725" max="725" width="8.5" bestFit="1" customWidth="1"/>
    <col min="726" max="726" width="5.83203125" bestFit="1" customWidth="1"/>
    <col min="727" max="727" width="8.5" bestFit="1" customWidth="1"/>
    <col min="728" max="728" width="5.83203125" bestFit="1" customWidth="1"/>
    <col min="729" max="729" width="8.5" bestFit="1" customWidth="1"/>
    <col min="730" max="730" width="5.83203125" bestFit="1" customWidth="1"/>
    <col min="731" max="731" width="8.5" bestFit="1" customWidth="1"/>
    <col min="732" max="732" width="5.83203125" bestFit="1" customWidth="1"/>
    <col min="733" max="733" width="8.5" bestFit="1" customWidth="1"/>
    <col min="734" max="734" width="5.83203125" bestFit="1" customWidth="1"/>
    <col min="735" max="735" width="8.5" bestFit="1" customWidth="1"/>
    <col min="736" max="736" width="5.83203125" bestFit="1" customWidth="1"/>
    <col min="737" max="737" width="8.5" bestFit="1" customWidth="1"/>
    <col min="738" max="738" width="5.83203125" bestFit="1" customWidth="1"/>
    <col min="739" max="739" width="8.5" bestFit="1" customWidth="1"/>
    <col min="740" max="740" width="5.83203125" bestFit="1" customWidth="1"/>
    <col min="741" max="741" width="8.5" bestFit="1" customWidth="1"/>
    <col min="742" max="742" width="5.83203125" bestFit="1" customWidth="1"/>
    <col min="743" max="743" width="8.5" bestFit="1" customWidth="1"/>
    <col min="744" max="744" width="5.83203125" bestFit="1" customWidth="1"/>
    <col min="745" max="745" width="8.5" bestFit="1" customWidth="1"/>
    <col min="746" max="746" width="5.83203125" bestFit="1" customWidth="1"/>
    <col min="747" max="747" width="8.5" bestFit="1" customWidth="1"/>
    <col min="748" max="748" width="5.83203125" bestFit="1" customWidth="1"/>
    <col min="749" max="749" width="8.5" bestFit="1" customWidth="1"/>
    <col min="750" max="750" width="5.83203125" bestFit="1" customWidth="1"/>
    <col min="751" max="751" width="8.5" bestFit="1" customWidth="1"/>
    <col min="752" max="752" width="5.83203125" bestFit="1" customWidth="1"/>
    <col min="753" max="753" width="8.5" bestFit="1" customWidth="1"/>
    <col min="754" max="754" width="5.83203125" bestFit="1" customWidth="1"/>
    <col min="755" max="755" width="8.5" bestFit="1" customWidth="1"/>
    <col min="756" max="756" width="5.83203125" bestFit="1" customWidth="1"/>
    <col min="757" max="757" width="8.5" bestFit="1" customWidth="1"/>
    <col min="758" max="758" width="5.83203125" bestFit="1" customWidth="1"/>
    <col min="759" max="759" width="8.5" bestFit="1" customWidth="1"/>
    <col min="760" max="760" width="5.83203125" bestFit="1" customWidth="1"/>
    <col min="761" max="761" width="8.5" bestFit="1" customWidth="1"/>
    <col min="762" max="762" width="5.83203125" bestFit="1" customWidth="1"/>
    <col min="763" max="763" width="8.5" bestFit="1" customWidth="1"/>
    <col min="764" max="764" width="5.83203125" bestFit="1" customWidth="1"/>
    <col min="765" max="765" width="8.5" bestFit="1" customWidth="1"/>
    <col min="766" max="766" width="5.83203125" bestFit="1" customWidth="1"/>
    <col min="767" max="767" width="8.5" bestFit="1" customWidth="1"/>
    <col min="768" max="768" width="5.83203125" bestFit="1" customWidth="1"/>
    <col min="769" max="769" width="8.5" bestFit="1" customWidth="1"/>
    <col min="770" max="770" width="5.83203125" bestFit="1" customWidth="1"/>
    <col min="771" max="771" width="8.5" bestFit="1" customWidth="1"/>
    <col min="772" max="772" width="5.83203125" bestFit="1" customWidth="1"/>
    <col min="773" max="773" width="8.5" bestFit="1" customWidth="1"/>
    <col min="774" max="774" width="5.83203125" bestFit="1" customWidth="1"/>
    <col min="775" max="775" width="8.5" bestFit="1" customWidth="1"/>
    <col min="776" max="776" width="5.83203125" bestFit="1" customWidth="1"/>
    <col min="777" max="777" width="8.5" bestFit="1" customWidth="1"/>
    <col min="778" max="778" width="5.83203125" bestFit="1" customWidth="1"/>
    <col min="779" max="779" width="8.5" bestFit="1" customWidth="1"/>
    <col min="780" max="780" width="5.83203125" bestFit="1" customWidth="1"/>
    <col min="781" max="781" width="8.5" bestFit="1" customWidth="1"/>
    <col min="782" max="782" width="5.83203125" bestFit="1" customWidth="1"/>
    <col min="783" max="783" width="8.5" bestFit="1" customWidth="1"/>
    <col min="784" max="784" width="5.83203125" bestFit="1" customWidth="1"/>
    <col min="785" max="785" width="8.5" bestFit="1" customWidth="1"/>
    <col min="786" max="786" width="5.83203125" bestFit="1" customWidth="1"/>
    <col min="787" max="787" width="8.5" bestFit="1" customWidth="1"/>
    <col min="788" max="788" width="5.83203125" bestFit="1" customWidth="1"/>
    <col min="789" max="789" width="8.5" bestFit="1" customWidth="1"/>
    <col min="790" max="790" width="5.83203125" bestFit="1" customWidth="1"/>
    <col min="791" max="791" width="8.5" bestFit="1" customWidth="1"/>
    <col min="792" max="792" width="5.83203125" bestFit="1" customWidth="1"/>
    <col min="793" max="793" width="8.5" bestFit="1" customWidth="1"/>
    <col min="794" max="794" width="5.83203125" bestFit="1" customWidth="1"/>
    <col min="795" max="795" width="8.5" bestFit="1" customWidth="1"/>
    <col min="796" max="796" width="5.83203125" bestFit="1" customWidth="1"/>
    <col min="797" max="797" width="8.5" bestFit="1" customWidth="1"/>
    <col min="798" max="798" width="5.83203125" bestFit="1" customWidth="1"/>
    <col min="799" max="799" width="8.5" bestFit="1" customWidth="1"/>
    <col min="800" max="800" width="5.83203125" bestFit="1" customWidth="1"/>
    <col min="801" max="801" width="8.5" bestFit="1" customWidth="1"/>
    <col min="802" max="802" width="5.83203125" bestFit="1" customWidth="1"/>
    <col min="803" max="803" width="8.5" bestFit="1" customWidth="1"/>
    <col min="804" max="804" width="5.83203125" bestFit="1" customWidth="1"/>
    <col min="805" max="805" width="8.5" bestFit="1" customWidth="1"/>
    <col min="806" max="806" width="5.83203125" bestFit="1" customWidth="1"/>
    <col min="807" max="807" width="8.5" bestFit="1" customWidth="1"/>
    <col min="808" max="808" width="5.83203125" bestFit="1" customWidth="1"/>
    <col min="809" max="809" width="8.5" bestFit="1" customWidth="1"/>
    <col min="810" max="810" width="5.83203125" bestFit="1" customWidth="1"/>
    <col min="811" max="811" width="8.5" bestFit="1" customWidth="1"/>
    <col min="812" max="812" width="5.83203125" bestFit="1" customWidth="1"/>
    <col min="813" max="813" width="8.5" bestFit="1" customWidth="1"/>
    <col min="814" max="814" width="5.83203125" bestFit="1" customWidth="1"/>
    <col min="815" max="815" width="8.5" bestFit="1" customWidth="1"/>
    <col min="816" max="816" width="5.83203125" bestFit="1" customWidth="1"/>
    <col min="817" max="817" width="8.5" bestFit="1" customWidth="1"/>
    <col min="818" max="818" width="5.83203125" bestFit="1" customWidth="1"/>
    <col min="819" max="819" width="8.5" bestFit="1" customWidth="1"/>
    <col min="820" max="820" width="5.83203125" bestFit="1" customWidth="1"/>
    <col min="821" max="821" width="8.5" bestFit="1" customWidth="1"/>
    <col min="822" max="822" width="5.83203125" bestFit="1" customWidth="1"/>
    <col min="823" max="823" width="8.5" bestFit="1" customWidth="1"/>
    <col min="824" max="824" width="5.83203125" bestFit="1" customWidth="1"/>
    <col min="825" max="825" width="8.5" bestFit="1" customWidth="1"/>
    <col min="826" max="826" width="5.83203125" bestFit="1" customWidth="1"/>
    <col min="827" max="827" width="8.5" bestFit="1" customWidth="1"/>
    <col min="828" max="828" width="5.83203125" bestFit="1" customWidth="1"/>
    <col min="829" max="829" width="8.5" bestFit="1" customWidth="1"/>
    <col min="830" max="830" width="5.83203125" bestFit="1" customWidth="1"/>
    <col min="831" max="831" width="8.5" bestFit="1" customWidth="1"/>
    <col min="832" max="832" width="5.83203125" bestFit="1" customWidth="1"/>
    <col min="833" max="833" width="8.5" bestFit="1" customWidth="1"/>
    <col min="834" max="834" width="5.83203125" bestFit="1" customWidth="1"/>
    <col min="835" max="835" width="8.5" bestFit="1" customWidth="1"/>
    <col min="836" max="836" width="5.83203125" bestFit="1" customWidth="1"/>
    <col min="837" max="837" width="8.5" bestFit="1" customWidth="1"/>
    <col min="838" max="838" width="5.83203125" bestFit="1" customWidth="1"/>
    <col min="839" max="839" width="8.5" bestFit="1" customWidth="1"/>
    <col min="840" max="840" width="5.83203125" bestFit="1" customWidth="1"/>
    <col min="841" max="841" width="8.5" bestFit="1" customWidth="1"/>
    <col min="842" max="842" width="5.83203125" bestFit="1" customWidth="1"/>
    <col min="843" max="843" width="8.5" bestFit="1" customWidth="1"/>
    <col min="844" max="844" width="5.83203125" bestFit="1" customWidth="1"/>
    <col min="845" max="845" width="8.5" bestFit="1" customWidth="1"/>
    <col min="846" max="846" width="5.83203125" bestFit="1" customWidth="1"/>
    <col min="847" max="847" width="8.5" bestFit="1" customWidth="1"/>
    <col min="848" max="848" width="5.83203125" bestFit="1" customWidth="1"/>
    <col min="849" max="849" width="8.5" bestFit="1" customWidth="1"/>
    <col min="850" max="850" width="5.83203125" bestFit="1" customWidth="1"/>
    <col min="851" max="851" width="8.5" bestFit="1" customWidth="1"/>
    <col min="852" max="852" width="5.83203125" bestFit="1" customWidth="1"/>
    <col min="853" max="853" width="8.5" bestFit="1" customWidth="1"/>
    <col min="854" max="854" width="5.83203125" bestFit="1" customWidth="1"/>
    <col min="855" max="855" width="8.5" bestFit="1" customWidth="1"/>
    <col min="856" max="856" width="5.83203125" bestFit="1" customWidth="1"/>
    <col min="857" max="857" width="8.5" bestFit="1" customWidth="1"/>
    <col min="858" max="858" width="5.83203125" bestFit="1" customWidth="1"/>
    <col min="859" max="859" width="8.5" bestFit="1" customWidth="1"/>
    <col min="860" max="860" width="5.83203125" bestFit="1" customWidth="1"/>
    <col min="861" max="861" width="8.5" bestFit="1" customWidth="1"/>
    <col min="862" max="862" width="5.83203125" bestFit="1" customWidth="1"/>
    <col min="863" max="863" width="8.5" bestFit="1" customWidth="1"/>
    <col min="864" max="864" width="5.83203125" bestFit="1" customWidth="1"/>
    <col min="865" max="865" width="8.5" bestFit="1" customWidth="1"/>
    <col min="866" max="866" width="5.83203125" bestFit="1" customWidth="1"/>
    <col min="867" max="867" width="8.5" bestFit="1" customWidth="1"/>
    <col min="868" max="868" width="5.83203125" bestFit="1" customWidth="1"/>
    <col min="869" max="869" width="8.5" bestFit="1" customWidth="1"/>
    <col min="870" max="870" width="5.83203125" bestFit="1" customWidth="1"/>
    <col min="871" max="871" width="8.5" bestFit="1" customWidth="1"/>
    <col min="872" max="872" width="5.83203125" bestFit="1" customWidth="1"/>
    <col min="873" max="873" width="8.5" bestFit="1" customWidth="1"/>
    <col min="874" max="874" width="5.83203125" bestFit="1" customWidth="1"/>
    <col min="875" max="875" width="8.5" bestFit="1" customWidth="1"/>
    <col min="876" max="876" width="5.83203125" bestFit="1" customWidth="1"/>
    <col min="877" max="877" width="8.5" bestFit="1" customWidth="1"/>
    <col min="878" max="878" width="5.83203125" bestFit="1" customWidth="1"/>
    <col min="879" max="879" width="8.5" bestFit="1" customWidth="1"/>
    <col min="880" max="880" width="5.83203125" bestFit="1" customWidth="1"/>
    <col min="881" max="881" width="8.5" bestFit="1" customWidth="1"/>
    <col min="882" max="882" width="5.83203125" bestFit="1" customWidth="1"/>
    <col min="883" max="883" width="8.5" bestFit="1" customWidth="1"/>
    <col min="884" max="884" width="5.83203125" bestFit="1" customWidth="1"/>
    <col min="885" max="885" width="8.5" bestFit="1" customWidth="1"/>
    <col min="886" max="886" width="5.83203125" bestFit="1" customWidth="1"/>
    <col min="887" max="887" width="8.5" bestFit="1" customWidth="1"/>
    <col min="888" max="888" width="5.83203125" bestFit="1" customWidth="1"/>
    <col min="889" max="889" width="8.5" bestFit="1" customWidth="1"/>
    <col min="890" max="890" width="5.83203125" bestFit="1" customWidth="1"/>
    <col min="891" max="891" width="8.5" bestFit="1" customWidth="1"/>
    <col min="892" max="892" width="5.83203125" bestFit="1" customWidth="1"/>
    <col min="893" max="893" width="8.5" bestFit="1" customWidth="1"/>
    <col min="894" max="894" width="5.83203125" bestFit="1" customWidth="1"/>
    <col min="895" max="895" width="8.5" bestFit="1" customWidth="1"/>
    <col min="896" max="896" width="5.83203125" bestFit="1" customWidth="1"/>
    <col min="897" max="897" width="8.5" bestFit="1" customWidth="1"/>
    <col min="898" max="898" width="5.83203125" bestFit="1" customWidth="1"/>
    <col min="899" max="899" width="8.5" bestFit="1" customWidth="1"/>
    <col min="900" max="900" width="5.83203125" bestFit="1" customWidth="1"/>
    <col min="901" max="901" width="8.5" bestFit="1" customWidth="1"/>
    <col min="902" max="902" width="5.83203125" bestFit="1" customWidth="1"/>
    <col min="903" max="903" width="8.5" bestFit="1" customWidth="1"/>
    <col min="904" max="904" width="5.83203125" bestFit="1" customWidth="1"/>
    <col min="905" max="905" width="8.5" bestFit="1" customWidth="1"/>
    <col min="906" max="906" width="5.83203125" bestFit="1" customWidth="1"/>
    <col min="907" max="907" width="8.5" bestFit="1" customWidth="1"/>
    <col min="908" max="908" width="5.83203125" bestFit="1" customWidth="1"/>
    <col min="909" max="909" width="8.5" bestFit="1" customWidth="1"/>
    <col min="910" max="910" width="5.83203125" bestFit="1" customWidth="1"/>
    <col min="911" max="911" width="8.5" bestFit="1" customWidth="1"/>
    <col min="912" max="912" width="5.83203125" bestFit="1" customWidth="1"/>
    <col min="913" max="913" width="8.5" bestFit="1" customWidth="1"/>
    <col min="914" max="914" width="5.83203125" bestFit="1" customWidth="1"/>
    <col min="915" max="915" width="8.5" bestFit="1" customWidth="1"/>
    <col min="916" max="916" width="5.83203125" bestFit="1" customWidth="1"/>
    <col min="917" max="917" width="8.5" bestFit="1" customWidth="1"/>
    <col min="918" max="918" width="5.83203125" bestFit="1" customWidth="1"/>
    <col min="919" max="919" width="8.5" bestFit="1" customWidth="1"/>
    <col min="920" max="920" width="5.83203125" bestFit="1" customWidth="1"/>
    <col min="921" max="921" width="8.5" bestFit="1" customWidth="1"/>
    <col min="922" max="922" width="5.83203125" bestFit="1" customWidth="1"/>
    <col min="923" max="923" width="8.5" bestFit="1" customWidth="1"/>
    <col min="924" max="924" width="5.83203125" bestFit="1" customWidth="1"/>
    <col min="925" max="925" width="8.5" bestFit="1" customWidth="1"/>
    <col min="926" max="926" width="5.83203125" bestFit="1" customWidth="1"/>
    <col min="927" max="927" width="8.5" bestFit="1" customWidth="1"/>
    <col min="928" max="928" width="5.83203125" bestFit="1" customWidth="1"/>
    <col min="929" max="929" width="8.5" bestFit="1" customWidth="1"/>
    <col min="930" max="930" width="5.83203125" bestFit="1" customWidth="1"/>
    <col min="931" max="931" width="8.5" bestFit="1" customWidth="1"/>
    <col min="932" max="932" width="5.83203125" bestFit="1" customWidth="1"/>
    <col min="933" max="933" width="8.5" bestFit="1" customWidth="1"/>
    <col min="934" max="934" width="5.83203125" bestFit="1" customWidth="1"/>
    <col min="935" max="935" width="8.5" bestFit="1" customWidth="1"/>
    <col min="936" max="936" width="5.83203125" bestFit="1" customWidth="1"/>
    <col min="937" max="937" width="8.5" bestFit="1" customWidth="1"/>
    <col min="938" max="938" width="5.83203125" bestFit="1" customWidth="1"/>
    <col min="939" max="939" width="8.5" bestFit="1" customWidth="1"/>
    <col min="940" max="940" width="5.83203125" bestFit="1" customWidth="1"/>
    <col min="941" max="941" width="8.5" bestFit="1" customWidth="1"/>
    <col min="942" max="942" width="5.83203125" bestFit="1" customWidth="1"/>
    <col min="943" max="943" width="8.5" bestFit="1" customWidth="1"/>
    <col min="944" max="944" width="5.83203125" bestFit="1" customWidth="1"/>
    <col min="945" max="945" width="8.5" bestFit="1" customWidth="1"/>
    <col min="946" max="946" width="5.83203125" bestFit="1" customWidth="1"/>
    <col min="947" max="947" width="8.5" bestFit="1" customWidth="1"/>
    <col min="948" max="948" width="5.83203125" bestFit="1" customWidth="1"/>
    <col min="949" max="949" width="8.5" bestFit="1" customWidth="1"/>
    <col min="950" max="950" width="5.83203125" bestFit="1" customWidth="1"/>
    <col min="951" max="951" width="8.5" bestFit="1" customWidth="1"/>
    <col min="952" max="952" width="5.83203125" bestFit="1" customWidth="1"/>
    <col min="953" max="953" width="8.5" bestFit="1" customWidth="1"/>
    <col min="954" max="954" width="5.83203125" bestFit="1" customWidth="1"/>
    <col min="955" max="955" width="8.5" bestFit="1" customWidth="1"/>
    <col min="956" max="956" width="5.83203125" bestFit="1" customWidth="1"/>
    <col min="957" max="957" width="8.5" bestFit="1" customWidth="1"/>
    <col min="958" max="958" width="5.83203125" bestFit="1" customWidth="1"/>
    <col min="959" max="959" width="8.5" bestFit="1" customWidth="1"/>
    <col min="960" max="960" width="5.83203125" bestFit="1" customWidth="1"/>
    <col min="961" max="961" width="8.5" bestFit="1" customWidth="1"/>
    <col min="962" max="962" width="5.83203125" bestFit="1" customWidth="1"/>
    <col min="963" max="963" width="8.5" bestFit="1" customWidth="1"/>
    <col min="964" max="964" width="5.83203125" bestFit="1" customWidth="1"/>
    <col min="965" max="965" width="8.5" bestFit="1" customWidth="1"/>
    <col min="966" max="966" width="5.83203125" bestFit="1" customWidth="1"/>
    <col min="967" max="967" width="8.5" bestFit="1" customWidth="1"/>
    <col min="968" max="968" width="5.83203125" bestFit="1" customWidth="1"/>
    <col min="969" max="969" width="8.5" bestFit="1" customWidth="1"/>
    <col min="970" max="970" width="5.83203125" bestFit="1" customWidth="1"/>
    <col min="971" max="971" width="8.5" bestFit="1" customWidth="1"/>
    <col min="972" max="972" width="5.83203125" bestFit="1" customWidth="1"/>
    <col min="973" max="973" width="8.5" bestFit="1" customWidth="1"/>
    <col min="974" max="974" width="5.83203125" bestFit="1" customWidth="1"/>
    <col min="975" max="975" width="8.5" bestFit="1" customWidth="1"/>
    <col min="976" max="976" width="5.83203125" bestFit="1" customWidth="1"/>
    <col min="977" max="977" width="8.5" bestFit="1" customWidth="1"/>
    <col min="978" max="978" width="5.83203125" bestFit="1" customWidth="1"/>
    <col min="979" max="979" width="8.5" bestFit="1" customWidth="1"/>
    <col min="980" max="980" width="5.83203125" bestFit="1" customWidth="1"/>
    <col min="981" max="981" width="8.5" bestFit="1" customWidth="1"/>
    <col min="982" max="982" width="5.83203125" bestFit="1" customWidth="1"/>
    <col min="983" max="983" width="8.5" bestFit="1" customWidth="1"/>
    <col min="984" max="984" width="5.83203125" bestFit="1" customWidth="1"/>
    <col min="985" max="985" width="8.5" bestFit="1" customWidth="1"/>
    <col min="986" max="986" width="5.83203125" bestFit="1" customWidth="1"/>
    <col min="987" max="987" width="8.5" bestFit="1" customWidth="1"/>
    <col min="988" max="988" width="5.83203125" bestFit="1" customWidth="1"/>
    <col min="989" max="989" width="8.5" bestFit="1" customWidth="1"/>
    <col min="990" max="990" width="5.83203125" bestFit="1" customWidth="1"/>
    <col min="991" max="991" width="8.5" bestFit="1" customWidth="1"/>
    <col min="992" max="992" width="5.83203125" bestFit="1" customWidth="1"/>
    <col min="993" max="993" width="8.5" bestFit="1" customWidth="1"/>
    <col min="994" max="994" width="5.83203125" bestFit="1" customWidth="1"/>
    <col min="995" max="995" width="8.5" bestFit="1" customWidth="1"/>
    <col min="996" max="996" width="5.83203125" bestFit="1" customWidth="1"/>
    <col min="997" max="997" width="8.5" bestFit="1" customWidth="1"/>
    <col min="998" max="998" width="5.83203125" bestFit="1" customWidth="1"/>
    <col min="999" max="999" width="8.5" bestFit="1" customWidth="1"/>
    <col min="1000" max="1000" width="5.83203125" bestFit="1" customWidth="1"/>
    <col min="1001" max="1001" width="8.5" bestFit="1" customWidth="1"/>
    <col min="1002" max="1002" width="5.83203125" bestFit="1" customWidth="1"/>
    <col min="1003" max="1003" width="8.5" bestFit="1" customWidth="1"/>
    <col min="1004" max="1004" width="5.83203125" bestFit="1" customWidth="1"/>
    <col min="1005" max="1005" width="8.5" bestFit="1" customWidth="1"/>
    <col min="1006" max="1006" width="5.83203125" bestFit="1" customWidth="1"/>
    <col min="1007" max="1007" width="8.5" bestFit="1" customWidth="1"/>
    <col min="1008" max="1008" width="5.83203125" bestFit="1" customWidth="1"/>
    <col min="1009" max="1009" width="8.5" bestFit="1" customWidth="1"/>
    <col min="1010" max="1010" width="5.83203125" bestFit="1" customWidth="1"/>
    <col min="1011" max="1011" width="8.5" bestFit="1" customWidth="1"/>
    <col min="1012" max="1012" width="5.83203125" bestFit="1" customWidth="1"/>
    <col min="1013" max="1013" width="8.5" bestFit="1" customWidth="1"/>
    <col min="1014" max="1014" width="5.83203125" bestFit="1" customWidth="1"/>
    <col min="1015" max="1015" width="8.5" bestFit="1" customWidth="1"/>
    <col min="1016" max="1016" width="5.83203125" bestFit="1" customWidth="1"/>
    <col min="1017" max="1017" width="8.5" bestFit="1" customWidth="1"/>
    <col min="1018" max="1018" width="5.83203125" bestFit="1" customWidth="1"/>
    <col min="1019" max="1019" width="8.5" bestFit="1" customWidth="1"/>
    <col min="1020" max="1020" width="5.83203125" bestFit="1" customWidth="1"/>
    <col min="1021" max="1021" width="8.5" bestFit="1" customWidth="1"/>
    <col min="1022" max="1022" width="5.83203125" bestFit="1" customWidth="1"/>
    <col min="1023" max="1023" width="8.5" bestFit="1" customWidth="1"/>
    <col min="1024" max="1024" width="5.83203125" bestFit="1" customWidth="1"/>
    <col min="1025" max="1025" width="8.5" bestFit="1" customWidth="1"/>
    <col min="1026" max="1026" width="5.83203125" bestFit="1" customWidth="1"/>
    <col min="1027" max="1027" width="8.5" bestFit="1" customWidth="1"/>
    <col min="1028" max="1028" width="5.83203125" bestFit="1" customWidth="1"/>
    <col min="1029" max="1029" width="8.5" bestFit="1" customWidth="1"/>
    <col min="1030" max="1030" width="5.83203125" bestFit="1" customWidth="1"/>
    <col min="1031" max="1031" width="8.5" bestFit="1" customWidth="1"/>
    <col min="1032" max="1032" width="5.83203125" bestFit="1" customWidth="1"/>
    <col min="1033" max="1033" width="8.5" bestFit="1" customWidth="1"/>
    <col min="1034" max="1034" width="5.83203125" bestFit="1" customWidth="1"/>
    <col min="1035" max="1035" width="8.5" bestFit="1" customWidth="1"/>
    <col min="1036" max="1036" width="5.83203125" bestFit="1" customWidth="1"/>
    <col min="1037" max="1037" width="8.5" bestFit="1" customWidth="1"/>
    <col min="1038" max="1038" width="5.83203125" bestFit="1" customWidth="1"/>
    <col min="1039" max="1039" width="8.5" bestFit="1" customWidth="1"/>
    <col min="1040" max="1040" width="5.83203125" bestFit="1" customWidth="1"/>
    <col min="1041" max="1041" width="8.5" bestFit="1" customWidth="1"/>
    <col min="1042" max="1042" width="5.83203125" bestFit="1" customWidth="1"/>
    <col min="1043" max="1043" width="8.5" bestFit="1" customWidth="1"/>
    <col min="1044" max="1044" width="5.83203125" bestFit="1" customWidth="1"/>
    <col min="1045" max="1045" width="8.5" bestFit="1" customWidth="1"/>
    <col min="1046" max="1046" width="5.83203125" bestFit="1" customWidth="1"/>
    <col min="1047" max="1047" width="8.5" bestFit="1" customWidth="1"/>
    <col min="1048" max="1048" width="5.83203125" bestFit="1" customWidth="1"/>
    <col min="1049" max="1049" width="8.5" bestFit="1" customWidth="1"/>
    <col min="1050" max="1050" width="5.83203125" bestFit="1" customWidth="1"/>
    <col min="1051" max="1051" width="8.5" bestFit="1" customWidth="1"/>
    <col min="1052" max="1052" width="5.83203125" bestFit="1" customWidth="1"/>
    <col min="1053" max="1053" width="8.5" bestFit="1" customWidth="1"/>
    <col min="1054" max="1054" width="5.83203125" bestFit="1" customWidth="1"/>
    <col min="1055" max="1055" width="8.5" bestFit="1" customWidth="1"/>
    <col min="1056" max="1056" width="5.83203125" bestFit="1" customWidth="1"/>
    <col min="1057" max="1057" width="8.5" bestFit="1" customWidth="1"/>
    <col min="1058" max="1058" width="5.83203125" bestFit="1" customWidth="1"/>
    <col min="1059" max="1059" width="8.5" bestFit="1" customWidth="1"/>
    <col min="1060" max="1060" width="5.83203125" bestFit="1" customWidth="1"/>
    <col min="1061" max="1061" width="8.5" bestFit="1" customWidth="1"/>
    <col min="1062" max="1062" width="5.83203125" bestFit="1" customWidth="1"/>
    <col min="1063" max="1063" width="8.5" bestFit="1" customWidth="1"/>
    <col min="1064" max="1064" width="5.83203125" bestFit="1" customWidth="1"/>
    <col min="1065" max="1065" width="8.5" bestFit="1" customWidth="1"/>
    <col min="1066" max="1066" width="5.83203125" bestFit="1" customWidth="1"/>
    <col min="1067" max="1067" width="8.5" bestFit="1" customWidth="1"/>
    <col min="1068" max="1068" width="5.83203125" bestFit="1" customWidth="1"/>
    <col min="1069" max="1069" width="8.5" bestFit="1" customWidth="1"/>
    <col min="1070" max="1070" width="5.83203125" bestFit="1" customWidth="1"/>
    <col min="1071" max="1071" width="8.5" bestFit="1" customWidth="1"/>
    <col min="1072" max="1072" width="5.83203125" bestFit="1" customWidth="1"/>
    <col min="1073" max="1073" width="8.5" bestFit="1" customWidth="1"/>
    <col min="1074" max="1074" width="5.83203125" bestFit="1" customWidth="1"/>
    <col min="1075" max="1075" width="8.5" bestFit="1" customWidth="1"/>
    <col min="1076" max="1076" width="5.83203125" bestFit="1" customWidth="1"/>
    <col min="1077" max="1077" width="8.5" bestFit="1" customWidth="1"/>
    <col min="1078" max="1078" width="5.83203125" bestFit="1" customWidth="1"/>
    <col min="1079" max="1079" width="8.5" bestFit="1" customWidth="1"/>
    <col min="1080" max="1080" width="5.83203125" bestFit="1" customWidth="1"/>
    <col min="1081" max="1081" width="8.5" bestFit="1" customWidth="1"/>
    <col min="1082" max="1082" width="5.83203125" bestFit="1" customWidth="1"/>
    <col min="1083" max="1083" width="8.5" bestFit="1" customWidth="1"/>
    <col min="1084" max="1084" width="5.83203125" bestFit="1" customWidth="1"/>
    <col min="1085" max="1085" width="8.5" bestFit="1" customWidth="1"/>
    <col min="1086" max="1086" width="5.83203125" bestFit="1" customWidth="1"/>
    <col min="1087" max="1087" width="8.5" bestFit="1" customWidth="1"/>
    <col min="1088" max="1088" width="5.83203125" bestFit="1" customWidth="1"/>
    <col min="1089" max="1089" width="8.5" bestFit="1" customWidth="1"/>
    <col min="1090" max="1090" width="5.83203125" bestFit="1" customWidth="1"/>
    <col min="1091" max="1091" width="8.5" bestFit="1" customWidth="1"/>
    <col min="1092" max="1092" width="5.83203125" bestFit="1" customWidth="1"/>
    <col min="1093" max="1093" width="8.5" bestFit="1" customWidth="1"/>
    <col min="1094" max="1094" width="5.83203125" bestFit="1" customWidth="1"/>
    <col min="1095" max="1095" width="8.5" bestFit="1" customWidth="1"/>
    <col min="1096" max="1096" width="5.83203125" bestFit="1" customWidth="1"/>
    <col min="1097" max="1097" width="8.5" bestFit="1" customWidth="1"/>
    <col min="1098" max="1098" width="5.83203125" bestFit="1" customWidth="1"/>
    <col min="1099" max="1099" width="8.5" bestFit="1" customWidth="1"/>
    <col min="1100" max="1100" width="5.83203125" bestFit="1" customWidth="1"/>
    <col min="1101" max="1101" width="8.5" bestFit="1" customWidth="1"/>
    <col min="1102" max="1102" width="5.83203125" bestFit="1" customWidth="1"/>
    <col min="1103" max="1103" width="8.5" bestFit="1" customWidth="1"/>
    <col min="1104" max="1104" width="5.83203125" bestFit="1" customWidth="1"/>
    <col min="1105" max="1105" width="8.5" bestFit="1" customWidth="1"/>
    <col min="1106" max="1106" width="5.83203125" bestFit="1" customWidth="1"/>
    <col min="1107" max="1107" width="8.5" bestFit="1" customWidth="1"/>
    <col min="1108" max="1108" width="5.83203125" bestFit="1" customWidth="1"/>
    <col min="1109" max="1109" width="8.5" bestFit="1" customWidth="1"/>
    <col min="1110" max="1110" width="5.83203125" bestFit="1" customWidth="1"/>
    <col min="1111" max="1111" width="8.5" bestFit="1" customWidth="1"/>
    <col min="1112" max="1112" width="5.83203125" bestFit="1" customWidth="1"/>
    <col min="1113" max="1113" width="8.5" bestFit="1" customWidth="1"/>
    <col min="1114" max="1114" width="5.83203125" bestFit="1" customWidth="1"/>
    <col min="1115" max="1115" width="8.5" bestFit="1" customWidth="1"/>
    <col min="1116" max="1116" width="5.83203125" bestFit="1" customWidth="1"/>
    <col min="1117" max="1117" width="8.5" bestFit="1" customWidth="1"/>
    <col min="1118" max="1118" width="5.83203125" bestFit="1" customWidth="1"/>
    <col min="1119" max="1119" width="8.5" bestFit="1" customWidth="1"/>
    <col min="1120" max="1120" width="5.83203125" bestFit="1" customWidth="1"/>
    <col min="1121" max="1121" width="8.5" bestFit="1" customWidth="1"/>
    <col min="1122" max="1122" width="5.83203125" bestFit="1" customWidth="1"/>
    <col min="1123" max="1123" width="8.5" bestFit="1" customWidth="1"/>
    <col min="1124" max="1124" width="5.83203125" bestFit="1" customWidth="1"/>
    <col min="1125" max="1125" width="8.5" bestFit="1" customWidth="1"/>
    <col min="1126" max="1126" width="5.83203125" bestFit="1" customWidth="1"/>
    <col min="1127" max="1127" width="8.5" bestFit="1" customWidth="1"/>
    <col min="1128" max="1128" width="5.83203125" bestFit="1" customWidth="1"/>
    <col min="1129" max="1129" width="8.5" bestFit="1" customWidth="1"/>
    <col min="1130" max="1130" width="5.83203125" bestFit="1" customWidth="1"/>
    <col min="1131" max="1131" width="8.5" bestFit="1" customWidth="1"/>
    <col min="1132" max="1132" width="5.83203125" bestFit="1" customWidth="1"/>
    <col min="1133" max="1133" width="8.5" bestFit="1" customWidth="1"/>
    <col min="1134" max="1134" width="5.83203125" bestFit="1" customWidth="1"/>
    <col min="1135" max="1135" width="8.5" bestFit="1" customWidth="1"/>
    <col min="1136" max="1136" width="5.83203125" bestFit="1" customWidth="1"/>
    <col min="1137" max="1137" width="8.5" bestFit="1" customWidth="1"/>
    <col min="1138" max="1138" width="5.83203125" bestFit="1" customWidth="1"/>
    <col min="1139" max="1139" width="8.5" bestFit="1" customWidth="1"/>
    <col min="1140" max="1140" width="5.83203125" bestFit="1" customWidth="1"/>
    <col min="1141" max="1141" width="8.5" bestFit="1" customWidth="1"/>
    <col min="1142" max="1142" width="5.83203125" bestFit="1" customWidth="1"/>
    <col min="1143" max="1143" width="8.5" bestFit="1" customWidth="1"/>
    <col min="1144" max="1144" width="5.83203125" bestFit="1" customWidth="1"/>
    <col min="1145" max="1145" width="8.5" bestFit="1" customWidth="1"/>
    <col min="1146" max="1146" width="5.83203125" bestFit="1" customWidth="1"/>
    <col min="1147" max="1147" width="8.5" bestFit="1" customWidth="1"/>
    <col min="1148" max="1148" width="5.83203125" bestFit="1" customWidth="1"/>
    <col min="1149" max="1149" width="8.5" bestFit="1" customWidth="1"/>
    <col min="1150" max="1150" width="5.83203125" bestFit="1" customWidth="1"/>
    <col min="1151" max="1151" width="8.5" bestFit="1" customWidth="1"/>
    <col min="1152" max="1152" width="5.83203125" bestFit="1" customWidth="1"/>
    <col min="1153" max="1153" width="8.5" bestFit="1" customWidth="1"/>
    <col min="1154" max="1154" width="5.83203125" bestFit="1" customWidth="1"/>
    <col min="1155" max="1155" width="8.5" bestFit="1" customWidth="1"/>
    <col min="1156" max="1156" width="5.83203125" bestFit="1" customWidth="1"/>
    <col min="1157" max="1157" width="8.5" bestFit="1" customWidth="1"/>
    <col min="1158" max="1158" width="5.83203125" bestFit="1" customWidth="1"/>
    <col min="1159" max="1159" width="8.5" bestFit="1" customWidth="1"/>
    <col min="1160" max="1160" width="5.83203125" bestFit="1" customWidth="1"/>
    <col min="1161" max="1161" width="8.5" bestFit="1" customWidth="1"/>
    <col min="1162" max="1162" width="5.83203125" bestFit="1" customWidth="1"/>
    <col min="1163" max="1163" width="8.5" bestFit="1" customWidth="1"/>
    <col min="1164" max="1164" width="5.83203125" bestFit="1" customWidth="1"/>
    <col min="1165" max="1165" width="8.5" bestFit="1" customWidth="1"/>
    <col min="1166" max="1166" width="5.83203125" bestFit="1" customWidth="1"/>
    <col min="1167" max="1167" width="8.5" bestFit="1" customWidth="1"/>
    <col min="1168" max="1168" width="5.83203125" bestFit="1" customWidth="1"/>
    <col min="1169" max="1169" width="8.5" bestFit="1" customWidth="1"/>
    <col min="1170" max="1170" width="5.83203125" bestFit="1" customWidth="1"/>
    <col min="1171" max="1171" width="8.5" bestFit="1" customWidth="1"/>
    <col min="1172" max="1172" width="5.83203125" bestFit="1" customWidth="1"/>
    <col min="1173" max="1173" width="8.5" bestFit="1" customWidth="1"/>
    <col min="1174" max="1174" width="5.83203125" bestFit="1" customWidth="1"/>
    <col min="1175" max="1175" width="8.5" bestFit="1" customWidth="1"/>
    <col min="1176" max="1176" width="5.83203125" bestFit="1" customWidth="1"/>
    <col min="1177" max="1177" width="8.5" bestFit="1" customWidth="1"/>
    <col min="1178" max="1178" width="5.83203125" bestFit="1" customWidth="1"/>
    <col min="1179" max="1179" width="8.5" bestFit="1" customWidth="1"/>
    <col min="1180" max="1180" width="5.83203125" bestFit="1" customWidth="1"/>
    <col min="1181" max="1181" width="8.5" bestFit="1" customWidth="1"/>
    <col min="1182" max="1182" width="5.83203125" bestFit="1" customWidth="1"/>
    <col min="1183" max="1183" width="8.5" bestFit="1" customWidth="1"/>
    <col min="1184" max="1184" width="5.83203125" bestFit="1" customWidth="1"/>
    <col min="1185" max="1185" width="8.5" bestFit="1" customWidth="1"/>
    <col min="1186" max="1186" width="5.83203125" bestFit="1" customWidth="1"/>
    <col min="1187" max="1187" width="8.5" bestFit="1" customWidth="1"/>
    <col min="1188" max="1188" width="5.83203125" bestFit="1" customWidth="1"/>
    <col min="1189" max="1189" width="8.5" bestFit="1" customWidth="1"/>
    <col min="1190" max="1190" width="5.83203125" bestFit="1" customWidth="1"/>
    <col min="1191" max="1191" width="8.5" bestFit="1" customWidth="1"/>
    <col min="1192" max="1192" width="5.83203125" bestFit="1" customWidth="1"/>
    <col min="1193" max="1193" width="8.5" bestFit="1" customWidth="1"/>
    <col min="1194" max="1194" width="5.83203125" bestFit="1" customWidth="1"/>
    <col min="1195" max="1195" width="8.5" bestFit="1" customWidth="1"/>
    <col min="1196" max="1196" width="5.83203125" bestFit="1" customWidth="1"/>
    <col min="1197" max="1197" width="8.5" bestFit="1" customWidth="1"/>
    <col min="1198" max="1198" width="5.83203125" bestFit="1" customWidth="1"/>
    <col min="1199" max="1199" width="8.5" bestFit="1" customWidth="1"/>
    <col min="1200" max="1200" width="5.83203125" bestFit="1" customWidth="1"/>
    <col min="1201" max="1201" width="8.5" bestFit="1" customWidth="1"/>
    <col min="1202" max="1202" width="5.83203125" bestFit="1" customWidth="1"/>
    <col min="1203" max="1203" width="8.5" bestFit="1" customWidth="1"/>
    <col min="1204" max="1204" width="5.83203125" bestFit="1" customWidth="1"/>
    <col min="1205" max="1205" width="8.5" bestFit="1" customWidth="1"/>
    <col min="1206" max="1206" width="5.83203125" bestFit="1" customWidth="1"/>
    <col min="1207" max="1207" width="8.5" bestFit="1" customWidth="1"/>
    <col min="1208" max="1208" width="5.83203125" bestFit="1" customWidth="1"/>
    <col min="1209" max="1209" width="8.5" bestFit="1" customWidth="1"/>
    <col min="1210" max="1210" width="5.83203125" bestFit="1" customWidth="1"/>
    <col min="1211" max="1211" width="8.5" bestFit="1" customWidth="1"/>
    <col min="1212" max="1212" width="5.83203125" bestFit="1" customWidth="1"/>
    <col min="1213" max="1213" width="8.5" bestFit="1" customWidth="1"/>
    <col min="1214" max="1214" width="5.83203125" bestFit="1" customWidth="1"/>
    <col min="1215" max="1215" width="8.5" bestFit="1" customWidth="1"/>
    <col min="1216" max="1216" width="5.83203125" bestFit="1" customWidth="1"/>
    <col min="1217" max="1217" width="8.5" bestFit="1" customWidth="1"/>
    <col min="1218" max="1218" width="5.83203125" bestFit="1" customWidth="1"/>
    <col min="1219" max="1219" width="8.5" bestFit="1" customWidth="1"/>
    <col min="1220" max="1220" width="5.83203125" bestFit="1" customWidth="1"/>
    <col min="1221" max="1221" width="8.5" bestFit="1" customWidth="1"/>
    <col min="1222" max="1222" width="5.83203125" bestFit="1" customWidth="1"/>
    <col min="1223" max="1223" width="8.5" bestFit="1" customWidth="1"/>
    <col min="1224" max="1224" width="5.83203125" bestFit="1" customWidth="1"/>
    <col min="1225" max="1225" width="8.5" bestFit="1" customWidth="1"/>
    <col min="1226" max="1226" width="5.83203125" bestFit="1" customWidth="1"/>
    <col min="1227" max="1227" width="8.5" bestFit="1" customWidth="1"/>
    <col min="1228" max="1228" width="5.83203125" bestFit="1" customWidth="1"/>
    <col min="1229" max="1229" width="8.5" bestFit="1" customWidth="1"/>
    <col min="1230" max="1230" width="5.83203125" bestFit="1" customWidth="1"/>
    <col min="1231" max="1231" width="8.5" bestFit="1" customWidth="1"/>
    <col min="1232" max="1232" width="5.83203125" bestFit="1" customWidth="1"/>
    <col min="1233" max="1233" width="8.5" bestFit="1" customWidth="1"/>
    <col min="1234" max="1234" width="5.83203125" bestFit="1" customWidth="1"/>
    <col min="1235" max="1235" width="8.5" bestFit="1" customWidth="1"/>
    <col min="1236" max="1236" width="5.83203125" bestFit="1" customWidth="1"/>
    <col min="1237" max="1237" width="8.5" bestFit="1" customWidth="1"/>
    <col min="1238" max="1238" width="5.83203125" bestFit="1" customWidth="1"/>
    <col min="1239" max="1239" width="8.5" bestFit="1" customWidth="1"/>
    <col min="1240" max="1240" width="5.83203125" bestFit="1" customWidth="1"/>
    <col min="1241" max="1241" width="8.5" bestFit="1" customWidth="1"/>
    <col min="1242" max="1242" width="5.83203125" bestFit="1" customWidth="1"/>
    <col min="1243" max="1243" width="8.5" bestFit="1" customWidth="1"/>
    <col min="1244" max="1244" width="5.83203125" bestFit="1" customWidth="1"/>
    <col min="1245" max="1245" width="8.5" bestFit="1" customWidth="1"/>
    <col min="1246" max="1246" width="5.83203125" bestFit="1" customWidth="1"/>
    <col min="1247" max="1247" width="8.5" bestFit="1" customWidth="1"/>
    <col min="1248" max="1248" width="5.83203125" bestFit="1" customWidth="1"/>
    <col min="1249" max="1249" width="8.5" bestFit="1" customWidth="1"/>
    <col min="1250" max="1250" width="5.83203125" bestFit="1" customWidth="1"/>
    <col min="1251" max="1251" width="8.5" bestFit="1" customWidth="1"/>
    <col min="1252" max="1252" width="5.83203125" bestFit="1" customWidth="1"/>
    <col min="1253" max="1253" width="8.5" bestFit="1" customWidth="1"/>
    <col min="1254" max="1254" width="5.83203125" bestFit="1" customWidth="1"/>
    <col min="1255" max="1255" width="8.5" bestFit="1" customWidth="1"/>
    <col min="1256" max="1256" width="5.83203125" bestFit="1" customWidth="1"/>
    <col min="1257" max="1257" width="8.5" bestFit="1" customWidth="1"/>
    <col min="1258" max="1258" width="5.83203125" bestFit="1" customWidth="1"/>
    <col min="1259" max="1259" width="8.5" bestFit="1" customWidth="1"/>
    <col min="1260" max="1260" width="5.83203125" bestFit="1" customWidth="1"/>
    <col min="1261" max="1261" width="8.5" bestFit="1" customWidth="1"/>
    <col min="1262" max="1262" width="5.83203125" bestFit="1" customWidth="1"/>
    <col min="1263" max="1263" width="8.5" bestFit="1" customWidth="1"/>
    <col min="1264" max="1264" width="5.83203125" bestFit="1" customWidth="1"/>
    <col min="1265" max="1265" width="8.5" bestFit="1" customWidth="1"/>
    <col min="1266" max="1266" width="5.83203125" bestFit="1" customWidth="1"/>
    <col min="1267" max="1267" width="8.5" bestFit="1" customWidth="1"/>
    <col min="1268" max="1268" width="5.83203125" bestFit="1" customWidth="1"/>
    <col min="1269" max="1269" width="8.5" bestFit="1" customWidth="1"/>
    <col min="1270" max="1270" width="5.83203125" bestFit="1" customWidth="1"/>
    <col min="1271" max="1271" width="8.5" bestFit="1" customWidth="1"/>
    <col min="1272" max="1272" width="5.83203125" bestFit="1" customWidth="1"/>
    <col min="1273" max="1273" width="8.5" bestFit="1" customWidth="1"/>
    <col min="1274" max="1274" width="5.83203125" bestFit="1" customWidth="1"/>
    <col min="1275" max="1275" width="8.5" bestFit="1" customWidth="1"/>
    <col min="1276" max="1276" width="5.83203125" bestFit="1" customWidth="1"/>
    <col min="1277" max="1277" width="8.5" bestFit="1" customWidth="1"/>
    <col min="1278" max="1278" width="5.83203125" bestFit="1" customWidth="1"/>
    <col min="1279" max="1279" width="8.5" bestFit="1" customWidth="1"/>
    <col min="1280" max="1280" width="5.83203125" bestFit="1" customWidth="1"/>
    <col min="1281" max="1281" width="8.5" bestFit="1" customWidth="1"/>
    <col min="1282" max="1282" width="5.83203125" bestFit="1" customWidth="1"/>
    <col min="1283" max="1283" width="8.5" bestFit="1" customWidth="1"/>
    <col min="1284" max="1284" width="5.83203125" bestFit="1" customWidth="1"/>
    <col min="1285" max="1285" width="8.5" bestFit="1" customWidth="1"/>
    <col min="1286" max="1286" width="5.83203125" bestFit="1" customWidth="1"/>
    <col min="1287" max="1287" width="8.5" bestFit="1" customWidth="1"/>
    <col min="1288" max="1288" width="5.83203125" bestFit="1" customWidth="1"/>
    <col min="1289" max="1289" width="8.5" bestFit="1" customWidth="1"/>
    <col min="1290" max="1290" width="5.83203125" bestFit="1" customWidth="1"/>
    <col min="1291" max="1291" width="8.5" bestFit="1" customWidth="1"/>
    <col min="1292" max="1292" width="5.83203125" bestFit="1" customWidth="1"/>
    <col min="1293" max="1293" width="8.5" bestFit="1" customWidth="1"/>
    <col min="1294" max="1294" width="5.83203125" bestFit="1" customWidth="1"/>
    <col min="1295" max="1295" width="8.5" bestFit="1" customWidth="1"/>
    <col min="1296" max="1296" width="5.83203125" bestFit="1" customWidth="1"/>
    <col min="1297" max="1297" width="8.5" bestFit="1" customWidth="1"/>
    <col min="1298" max="1298" width="5.83203125" bestFit="1" customWidth="1"/>
    <col min="1299" max="1299" width="8.5" bestFit="1" customWidth="1"/>
    <col min="1300" max="1300" width="5.83203125" bestFit="1" customWidth="1"/>
    <col min="1301" max="1301" width="8.5" bestFit="1" customWidth="1"/>
    <col min="1302" max="1302" width="5.83203125" bestFit="1" customWidth="1"/>
    <col min="1303" max="1303" width="8.5" bestFit="1" customWidth="1"/>
    <col min="1304" max="1304" width="5.83203125" bestFit="1" customWidth="1"/>
    <col min="1305" max="1305" width="8.5" bestFit="1" customWidth="1"/>
    <col min="1306" max="1306" width="5.83203125" bestFit="1" customWidth="1"/>
    <col min="1307" max="1307" width="8.5" bestFit="1" customWidth="1"/>
    <col min="1308" max="1308" width="5.83203125" bestFit="1" customWidth="1"/>
    <col min="1309" max="1309" width="8.5" bestFit="1" customWidth="1"/>
    <col min="1310" max="1310" width="5.83203125" bestFit="1" customWidth="1"/>
    <col min="1311" max="1311" width="8.5" bestFit="1" customWidth="1"/>
    <col min="1312" max="1312" width="5.83203125" bestFit="1" customWidth="1"/>
    <col min="1313" max="1313" width="8.5" bestFit="1" customWidth="1"/>
    <col min="1314" max="1314" width="5.83203125" bestFit="1" customWidth="1"/>
    <col min="1315" max="1315" width="8.5" bestFit="1" customWidth="1"/>
    <col min="1316" max="1316" width="5.83203125" bestFit="1" customWidth="1"/>
    <col min="1317" max="1317" width="8.5" bestFit="1" customWidth="1"/>
    <col min="1318" max="1318" width="5.83203125" bestFit="1" customWidth="1"/>
    <col min="1319" max="1319" width="8.5" bestFit="1" customWidth="1"/>
    <col min="1320" max="1320" width="5.83203125" bestFit="1" customWidth="1"/>
    <col min="1321" max="1321" width="8.5" bestFit="1" customWidth="1"/>
    <col min="1322" max="1322" width="5.83203125" bestFit="1" customWidth="1"/>
    <col min="1323" max="1323" width="8.5" bestFit="1" customWidth="1"/>
    <col min="1324" max="1324" width="5.83203125" bestFit="1" customWidth="1"/>
    <col min="1325" max="1325" width="8.5" bestFit="1" customWidth="1"/>
    <col min="1326" max="1326" width="5.83203125" bestFit="1" customWidth="1"/>
    <col min="1327" max="1327" width="8.5" bestFit="1" customWidth="1"/>
    <col min="1328" max="1328" width="5.83203125" bestFit="1" customWidth="1"/>
    <col min="1329" max="1329" width="8.5" bestFit="1" customWidth="1"/>
    <col min="1330" max="1330" width="5.83203125" bestFit="1" customWidth="1"/>
    <col min="1331" max="1331" width="8.5" bestFit="1" customWidth="1"/>
    <col min="1332" max="1332" width="5.83203125" bestFit="1" customWidth="1"/>
    <col min="1333" max="1333" width="8.5" bestFit="1" customWidth="1"/>
    <col min="1334" max="1334" width="5.83203125" bestFit="1" customWidth="1"/>
    <col min="1335" max="1335" width="8.5" bestFit="1" customWidth="1"/>
    <col min="1336" max="1336" width="5.83203125" bestFit="1" customWidth="1"/>
    <col min="1337" max="1337" width="8.5" bestFit="1" customWidth="1"/>
    <col min="1338" max="1338" width="5.83203125" bestFit="1" customWidth="1"/>
    <col min="1339" max="1339" width="8.5" bestFit="1" customWidth="1"/>
    <col min="1340" max="1340" width="5.83203125" bestFit="1" customWidth="1"/>
    <col min="1341" max="1341" width="8.5" bestFit="1" customWidth="1"/>
    <col min="1342" max="1342" width="5.83203125" bestFit="1" customWidth="1"/>
    <col min="1343" max="1343" width="8.5" bestFit="1" customWidth="1"/>
    <col min="1344" max="1344" width="5.83203125" bestFit="1" customWidth="1"/>
    <col min="1345" max="1345" width="8.5" bestFit="1" customWidth="1"/>
    <col min="1346" max="1346" width="5.83203125" bestFit="1" customWidth="1"/>
    <col min="1347" max="1347" width="8.5" bestFit="1" customWidth="1"/>
    <col min="1348" max="1348" width="5.83203125" bestFit="1" customWidth="1"/>
    <col min="1349" max="1349" width="8.5" bestFit="1" customWidth="1"/>
    <col min="1350" max="1350" width="5.83203125" bestFit="1" customWidth="1"/>
    <col min="1351" max="1351" width="8.5" bestFit="1" customWidth="1"/>
    <col min="1352" max="1352" width="5.83203125" bestFit="1" customWidth="1"/>
    <col min="1353" max="1353" width="8.5" bestFit="1" customWidth="1"/>
    <col min="1354" max="1354" width="5.83203125" bestFit="1" customWidth="1"/>
    <col min="1355" max="1355" width="8.5" bestFit="1" customWidth="1"/>
    <col min="1356" max="1356" width="5.83203125" bestFit="1" customWidth="1"/>
    <col min="1357" max="1357" width="8.5" bestFit="1" customWidth="1"/>
    <col min="1358" max="1358" width="5.83203125" bestFit="1" customWidth="1"/>
    <col min="1359" max="1359" width="8.5" bestFit="1" customWidth="1"/>
    <col min="1360" max="1360" width="5.83203125" bestFit="1" customWidth="1"/>
    <col min="1361" max="1361" width="8.5" bestFit="1" customWidth="1"/>
    <col min="1362" max="1362" width="5.83203125" bestFit="1" customWidth="1"/>
    <col min="1363" max="1363" width="8.5" bestFit="1" customWidth="1"/>
    <col min="1364" max="1364" width="5.83203125" bestFit="1" customWidth="1"/>
    <col min="1365" max="1365" width="8.5" bestFit="1" customWidth="1"/>
    <col min="1366" max="1366" width="5.83203125" bestFit="1" customWidth="1"/>
    <col min="1367" max="1367" width="8.5" bestFit="1" customWidth="1"/>
    <col min="1368" max="1368" width="5.83203125" bestFit="1" customWidth="1"/>
    <col min="1369" max="1369" width="8.5" bestFit="1" customWidth="1"/>
    <col min="1370" max="1370" width="5.83203125" bestFit="1" customWidth="1"/>
    <col min="1371" max="1371" width="8.5" bestFit="1" customWidth="1"/>
    <col min="1372" max="1372" width="5.83203125" bestFit="1" customWidth="1"/>
    <col min="1373" max="1373" width="8.5" bestFit="1" customWidth="1"/>
    <col min="1374" max="1374" width="5.83203125" bestFit="1" customWidth="1"/>
    <col min="1375" max="1375" width="8.5" bestFit="1" customWidth="1"/>
    <col min="1376" max="1376" width="5.83203125" bestFit="1" customWidth="1"/>
    <col min="1377" max="1377" width="8.5" bestFit="1" customWidth="1"/>
    <col min="1378" max="1378" width="5.83203125" bestFit="1" customWidth="1"/>
    <col min="1379" max="1379" width="8.5" bestFit="1" customWidth="1"/>
    <col min="1380" max="1380" width="5.83203125" bestFit="1" customWidth="1"/>
    <col min="1381" max="1381" width="8.5" bestFit="1" customWidth="1"/>
    <col min="1382" max="1382" width="5.83203125" bestFit="1" customWidth="1"/>
    <col min="1383" max="1383" width="8.5" bestFit="1" customWidth="1"/>
    <col min="1384" max="1384" width="5.83203125" bestFit="1" customWidth="1"/>
    <col min="1385" max="1385" width="8.5" bestFit="1" customWidth="1"/>
    <col min="1386" max="1386" width="5.83203125" bestFit="1" customWidth="1"/>
    <col min="1387" max="1387" width="8.5" bestFit="1" customWidth="1"/>
    <col min="1388" max="1388" width="5.83203125" bestFit="1" customWidth="1"/>
    <col min="1389" max="1389" width="8.5" bestFit="1" customWidth="1"/>
    <col min="1390" max="1390" width="5.83203125" bestFit="1" customWidth="1"/>
    <col min="1391" max="1391" width="8.5" bestFit="1" customWidth="1"/>
    <col min="1392" max="1392" width="5.83203125" bestFit="1" customWidth="1"/>
    <col min="1393" max="1393" width="8.5" bestFit="1" customWidth="1"/>
    <col min="1394" max="1394" width="5.83203125" bestFit="1" customWidth="1"/>
    <col min="1395" max="1395" width="8.5" bestFit="1" customWidth="1"/>
    <col min="1396" max="1396" width="5.83203125" bestFit="1" customWidth="1"/>
    <col min="1397" max="1397" width="8.5" bestFit="1" customWidth="1"/>
    <col min="1398" max="1398" width="5.83203125" bestFit="1" customWidth="1"/>
    <col min="1399" max="1399" width="8.5" bestFit="1" customWidth="1"/>
    <col min="1400" max="1400" width="5.83203125" bestFit="1" customWidth="1"/>
    <col min="1401" max="1401" width="8.5" bestFit="1" customWidth="1"/>
    <col min="1402" max="1402" width="5.83203125" bestFit="1" customWidth="1"/>
    <col min="1403" max="1403" width="8.5" bestFit="1" customWidth="1"/>
    <col min="1404" max="1404" width="5.83203125" bestFit="1" customWidth="1"/>
    <col min="1405" max="1405" width="8.5" bestFit="1" customWidth="1"/>
    <col min="1406" max="1406" width="5.83203125" bestFit="1" customWidth="1"/>
    <col min="1407" max="1407" width="8.5" bestFit="1" customWidth="1"/>
    <col min="1408" max="1408" width="5.83203125" bestFit="1" customWidth="1"/>
    <col min="1409" max="1409" width="8.5" bestFit="1" customWidth="1"/>
    <col min="1410" max="1410" width="5.83203125" bestFit="1" customWidth="1"/>
    <col min="1411" max="1411" width="8.5" bestFit="1" customWidth="1"/>
    <col min="1412" max="1412" width="5.83203125" bestFit="1" customWidth="1"/>
    <col min="1413" max="1413" width="8.5" bestFit="1" customWidth="1"/>
    <col min="1414" max="1414" width="5.83203125" bestFit="1" customWidth="1"/>
    <col min="1415" max="1415" width="8.5" bestFit="1" customWidth="1"/>
    <col min="1416" max="1416" width="5.83203125" bestFit="1" customWidth="1"/>
    <col min="1417" max="1417" width="8.5" bestFit="1" customWidth="1"/>
    <col min="1418" max="1418" width="5.83203125" bestFit="1" customWidth="1"/>
    <col min="1419" max="1419" width="8.5" bestFit="1" customWidth="1"/>
    <col min="1420" max="1420" width="5.83203125" bestFit="1" customWidth="1"/>
    <col min="1421" max="1421" width="8.5" bestFit="1" customWidth="1"/>
    <col min="1422" max="1422" width="5.83203125" bestFit="1" customWidth="1"/>
    <col min="1423" max="1423" width="8.5" bestFit="1" customWidth="1"/>
    <col min="1424" max="1424" width="5.83203125" bestFit="1" customWidth="1"/>
    <col min="1425" max="1425" width="8.5" bestFit="1" customWidth="1"/>
    <col min="1426" max="1426" width="5.83203125" bestFit="1" customWidth="1"/>
    <col min="1427" max="1427" width="8.5" bestFit="1" customWidth="1"/>
    <col min="1428" max="1428" width="5.83203125" bestFit="1" customWidth="1"/>
    <col min="1429" max="1429" width="8.5" bestFit="1" customWidth="1"/>
    <col min="1430" max="1430" width="5.83203125" bestFit="1" customWidth="1"/>
    <col min="1431" max="1431" width="8.5" bestFit="1" customWidth="1"/>
    <col min="1432" max="1432" width="5.83203125" bestFit="1" customWidth="1"/>
    <col min="1433" max="1433" width="8.5" bestFit="1" customWidth="1"/>
    <col min="1434" max="1434" width="5.83203125" bestFit="1" customWidth="1"/>
    <col min="1435" max="1435" width="8.5" bestFit="1" customWidth="1"/>
    <col min="1436" max="1436" width="5.83203125" bestFit="1" customWidth="1"/>
    <col min="1437" max="1437" width="8.5" bestFit="1" customWidth="1"/>
    <col min="1438" max="1438" width="5.83203125" bestFit="1" customWidth="1"/>
    <col min="1439" max="1439" width="8.5" bestFit="1" customWidth="1"/>
    <col min="1440" max="1440" width="5.83203125" bestFit="1" customWidth="1"/>
    <col min="1441" max="1441" width="8.5" bestFit="1" customWidth="1"/>
    <col min="1442" max="1442" width="5.83203125" bestFit="1" customWidth="1"/>
    <col min="1443" max="1443" width="8.5" bestFit="1" customWidth="1"/>
    <col min="1444" max="1444" width="5.83203125" bestFit="1" customWidth="1"/>
    <col min="1445" max="1445" width="8.5" bestFit="1" customWidth="1"/>
    <col min="1446" max="1446" width="5.83203125" bestFit="1" customWidth="1"/>
    <col min="1447" max="1447" width="8.5" bestFit="1" customWidth="1"/>
    <col min="1448" max="1448" width="5.83203125" bestFit="1" customWidth="1"/>
    <col min="1449" max="1449" width="8.5" bestFit="1" customWidth="1"/>
    <col min="1450" max="1450" width="5.83203125" bestFit="1" customWidth="1"/>
    <col min="1451" max="1451" width="8.5" bestFit="1" customWidth="1"/>
    <col min="1452" max="1452" width="5.83203125" bestFit="1" customWidth="1"/>
    <col min="1453" max="1453" width="8.5" bestFit="1" customWidth="1"/>
    <col min="1454" max="1454" width="5.83203125" bestFit="1" customWidth="1"/>
    <col min="1455" max="1455" width="8.5" bestFit="1" customWidth="1"/>
    <col min="1456" max="1456" width="5.83203125" bestFit="1" customWidth="1"/>
    <col min="1457" max="1457" width="8.5" bestFit="1" customWidth="1"/>
    <col min="1458" max="1458" width="5.83203125" bestFit="1" customWidth="1"/>
    <col min="1459" max="1459" width="8.5" bestFit="1" customWidth="1"/>
    <col min="1460" max="1460" width="5.83203125" bestFit="1" customWidth="1"/>
    <col min="1461" max="1461" width="8.5" bestFit="1" customWidth="1"/>
    <col min="1462" max="1462" width="5.83203125" bestFit="1" customWidth="1"/>
    <col min="1463" max="1463" width="8.5" bestFit="1" customWidth="1"/>
    <col min="1464" max="1464" width="5.83203125" bestFit="1" customWidth="1"/>
    <col min="1465" max="1465" width="8.5" bestFit="1" customWidth="1"/>
    <col min="1466" max="1466" width="5.83203125" bestFit="1" customWidth="1"/>
    <col min="1467" max="1467" width="8.5" bestFit="1" customWidth="1"/>
    <col min="1468" max="1468" width="5.83203125" bestFit="1" customWidth="1"/>
    <col min="1469" max="1469" width="8.5" bestFit="1" customWidth="1"/>
    <col min="1470" max="1470" width="5.83203125" bestFit="1" customWidth="1"/>
    <col min="1471" max="1471" width="8.5" bestFit="1" customWidth="1"/>
    <col min="1472" max="1472" width="5.83203125" bestFit="1" customWidth="1"/>
    <col min="1473" max="1473" width="8.5" bestFit="1" customWidth="1"/>
    <col min="1474" max="1474" width="5.83203125" bestFit="1" customWidth="1"/>
    <col min="1475" max="1475" width="8.5" bestFit="1" customWidth="1"/>
    <col min="1476" max="1476" width="5.83203125" bestFit="1" customWidth="1"/>
    <col min="1477" max="1477" width="8.5" bestFit="1" customWidth="1"/>
    <col min="1478" max="1478" width="5.83203125" bestFit="1" customWidth="1"/>
    <col min="1479" max="1479" width="8.5" bestFit="1" customWidth="1"/>
    <col min="1480" max="1480" width="5.83203125" bestFit="1" customWidth="1"/>
    <col min="1481" max="1481" width="8.5" bestFit="1" customWidth="1"/>
    <col min="1482" max="1482" width="5.83203125" bestFit="1" customWidth="1"/>
    <col min="1483" max="1483" width="8.5" bestFit="1" customWidth="1"/>
    <col min="1484" max="1484" width="5.83203125" bestFit="1" customWidth="1"/>
    <col min="1485" max="1485" width="8.5" bestFit="1" customWidth="1"/>
    <col min="1486" max="1486" width="5.83203125" bestFit="1" customWidth="1"/>
    <col min="1487" max="1487" width="8.5" bestFit="1" customWidth="1"/>
    <col min="1488" max="1488" width="5.83203125" bestFit="1" customWidth="1"/>
    <col min="1489" max="1489" width="8.5" bestFit="1" customWidth="1"/>
    <col min="1490" max="1490" width="5.83203125" bestFit="1" customWidth="1"/>
    <col min="1491" max="1491" width="8.5" bestFit="1" customWidth="1"/>
    <col min="1492" max="1492" width="5.83203125" bestFit="1" customWidth="1"/>
    <col min="1493" max="1493" width="8.5" bestFit="1" customWidth="1"/>
    <col min="1494" max="1494" width="5.83203125" bestFit="1" customWidth="1"/>
    <col min="1495" max="1495" width="8.5" bestFit="1" customWidth="1"/>
    <col min="1496" max="1496" width="5.83203125" bestFit="1" customWidth="1"/>
    <col min="1497" max="1497" width="8.5" bestFit="1" customWidth="1"/>
    <col min="1498" max="1498" width="5.83203125" bestFit="1" customWidth="1"/>
    <col min="1499" max="1499" width="8.5" bestFit="1" customWidth="1"/>
    <col min="1500" max="1500" width="5.83203125" bestFit="1" customWidth="1"/>
    <col min="1501" max="1501" width="8.5" bestFit="1" customWidth="1"/>
    <col min="1502" max="1502" width="5.83203125" bestFit="1" customWidth="1"/>
    <col min="1503" max="1503" width="8.5" bestFit="1" customWidth="1"/>
    <col min="1504" max="1504" width="5.83203125" bestFit="1" customWidth="1"/>
    <col min="1505" max="1505" width="8.5" bestFit="1" customWidth="1"/>
    <col min="1506" max="1506" width="5.83203125" bestFit="1" customWidth="1"/>
    <col min="1507" max="1507" width="8.5" bestFit="1" customWidth="1"/>
    <col min="1508" max="1508" width="5.83203125" bestFit="1" customWidth="1"/>
    <col min="1509" max="1509" width="8.5" bestFit="1" customWidth="1"/>
    <col min="1510" max="1510" width="5.83203125" bestFit="1" customWidth="1"/>
    <col min="1511" max="1511" width="8.5" bestFit="1" customWidth="1"/>
    <col min="1512" max="1512" width="5.83203125" bestFit="1" customWidth="1"/>
    <col min="1513" max="1513" width="8.5" bestFit="1" customWidth="1"/>
    <col min="1514" max="1514" width="5.83203125" bestFit="1" customWidth="1"/>
    <col min="1515" max="1515" width="8.5" bestFit="1" customWidth="1"/>
    <col min="1516" max="1516" width="5.83203125" bestFit="1" customWidth="1"/>
    <col min="1517" max="1517" width="8.5" bestFit="1" customWidth="1"/>
    <col min="1518" max="1518" width="5.83203125" bestFit="1" customWidth="1"/>
    <col min="1519" max="1519" width="8.5" bestFit="1" customWidth="1"/>
    <col min="1520" max="1520" width="5.83203125" bestFit="1" customWidth="1"/>
    <col min="1521" max="1521" width="8.5" bestFit="1" customWidth="1"/>
    <col min="1522" max="1522" width="5.83203125" bestFit="1" customWidth="1"/>
    <col min="1523" max="1523" width="8.5" bestFit="1" customWidth="1"/>
    <col min="1524" max="1524" width="5.83203125" bestFit="1" customWidth="1"/>
    <col min="1525" max="1525" width="8.5" bestFit="1" customWidth="1"/>
    <col min="1526" max="1526" width="5.83203125" bestFit="1" customWidth="1"/>
    <col min="1527" max="1527" width="8.5" bestFit="1" customWidth="1"/>
    <col min="1528" max="1528" width="5.83203125" bestFit="1" customWidth="1"/>
    <col min="1529" max="1529" width="8.5" bestFit="1" customWidth="1"/>
    <col min="1530" max="1530" width="5.83203125" bestFit="1" customWidth="1"/>
    <col min="1531" max="1531" width="8.5" bestFit="1" customWidth="1"/>
    <col min="1532" max="1532" width="5.83203125" bestFit="1" customWidth="1"/>
    <col min="1533" max="1533" width="8.5" bestFit="1" customWidth="1"/>
    <col min="1534" max="1534" width="5.83203125" bestFit="1" customWidth="1"/>
    <col min="1535" max="1535" width="8.5" bestFit="1" customWidth="1"/>
    <col min="1536" max="1536" width="5.83203125" bestFit="1" customWidth="1"/>
    <col min="1537" max="1537" width="8.5" bestFit="1" customWidth="1"/>
    <col min="1538" max="1538" width="5.83203125" bestFit="1" customWidth="1"/>
    <col min="1539" max="1539" width="8.5" bestFit="1" customWidth="1"/>
    <col min="1540" max="1540" width="5.83203125" bestFit="1" customWidth="1"/>
    <col min="1541" max="1541" width="8.5" bestFit="1" customWidth="1"/>
    <col min="1542" max="1542" width="5.83203125" bestFit="1" customWidth="1"/>
    <col min="1543" max="1543" width="8.5" bestFit="1" customWidth="1"/>
    <col min="1544" max="1544" width="5.83203125" bestFit="1" customWidth="1"/>
    <col min="1545" max="1545" width="8.5" bestFit="1" customWidth="1"/>
    <col min="1546" max="1546" width="5.83203125" bestFit="1" customWidth="1"/>
    <col min="1547" max="1547" width="8.5" bestFit="1" customWidth="1"/>
    <col min="1548" max="1548" width="5.83203125" bestFit="1" customWidth="1"/>
    <col min="1549" max="1549" width="8.5" bestFit="1" customWidth="1"/>
    <col min="1550" max="1550" width="5.83203125" bestFit="1" customWidth="1"/>
    <col min="1551" max="1551" width="8.5" bestFit="1" customWidth="1"/>
    <col min="1552" max="1552" width="5.83203125" bestFit="1" customWidth="1"/>
    <col min="1553" max="1553" width="8.5" bestFit="1" customWidth="1"/>
    <col min="1554" max="1554" width="5.83203125" bestFit="1" customWidth="1"/>
    <col min="1555" max="1555" width="8.5" bestFit="1" customWidth="1"/>
    <col min="1556" max="1556" width="5.83203125" bestFit="1" customWidth="1"/>
    <col min="1557" max="1557" width="8.5" bestFit="1" customWidth="1"/>
    <col min="1558" max="1558" width="5.83203125" bestFit="1" customWidth="1"/>
    <col min="1559" max="1559" width="8.5" bestFit="1" customWidth="1"/>
    <col min="1560" max="1560" width="5.83203125" bestFit="1" customWidth="1"/>
    <col min="1561" max="1561" width="8.5" bestFit="1" customWidth="1"/>
    <col min="1562" max="1562" width="5.83203125" bestFit="1" customWidth="1"/>
    <col min="1563" max="1563" width="8.5" bestFit="1" customWidth="1"/>
    <col min="1564" max="1564" width="5.83203125" bestFit="1" customWidth="1"/>
    <col min="1565" max="1565" width="8.5" bestFit="1" customWidth="1"/>
    <col min="1566" max="1566" width="5.83203125" bestFit="1" customWidth="1"/>
    <col min="1567" max="1567" width="8.5" bestFit="1" customWidth="1"/>
    <col min="1568" max="1568" width="5.83203125" bestFit="1" customWidth="1"/>
    <col min="1569" max="1569" width="8.5" bestFit="1" customWidth="1"/>
    <col min="1570" max="1570" width="5.83203125" bestFit="1" customWidth="1"/>
    <col min="1571" max="1571" width="8.5" bestFit="1" customWidth="1"/>
    <col min="1572" max="1572" width="5.83203125" bestFit="1" customWidth="1"/>
    <col min="1573" max="1573" width="8.5" bestFit="1" customWidth="1"/>
    <col min="1574" max="1574" width="5.83203125" bestFit="1" customWidth="1"/>
    <col min="1575" max="1575" width="8.5" bestFit="1" customWidth="1"/>
    <col min="1576" max="1576" width="5.83203125" bestFit="1" customWidth="1"/>
    <col min="1577" max="1577" width="8.5" bestFit="1" customWidth="1"/>
    <col min="1578" max="1578" width="5.83203125" bestFit="1" customWidth="1"/>
    <col min="1579" max="1579" width="8.5" bestFit="1" customWidth="1"/>
    <col min="1580" max="1580" width="5.83203125" bestFit="1" customWidth="1"/>
    <col min="1581" max="1581" width="8.5" bestFit="1" customWidth="1"/>
    <col min="1582" max="1582" width="5.83203125" bestFit="1" customWidth="1"/>
    <col min="1583" max="1583" width="8.5" bestFit="1" customWidth="1"/>
    <col min="1584" max="1584" width="5.83203125" bestFit="1" customWidth="1"/>
    <col min="1585" max="1585" width="8.5" bestFit="1" customWidth="1"/>
    <col min="1586" max="1586" width="5.83203125" bestFit="1" customWidth="1"/>
    <col min="1587" max="1587" width="8.5" bestFit="1" customWidth="1"/>
    <col min="1588" max="1588" width="5.83203125" bestFit="1" customWidth="1"/>
    <col min="1589" max="1589" width="8.5" bestFit="1" customWidth="1"/>
    <col min="1590" max="1590" width="5.83203125" bestFit="1" customWidth="1"/>
    <col min="1591" max="1591" width="8.5" bestFit="1" customWidth="1"/>
    <col min="1592" max="1592" width="5.83203125" bestFit="1" customWidth="1"/>
    <col min="1593" max="1593" width="8.5" bestFit="1" customWidth="1"/>
    <col min="1594" max="1594" width="5.83203125" bestFit="1" customWidth="1"/>
    <col min="1595" max="1595" width="8.5" bestFit="1" customWidth="1"/>
    <col min="1596" max="1596" width="5.83203125" bestFit="1" customWidth="1"/>
    <col min="1597" max="1597" width="8.5" bestFit="1" customWidth="1"/>
    <col min="1598" max="1598" width="5.83203125" bestFit="1" customWidth="1"/>
    <col min="1599" max="1599" width="8.5" bestFit="1" customWidth="1"/>
    <col min="1600" max="1600" width="5.83203125" bestFit="1" customWidth="1"/>
    <col min="1601" max="1601" width="8.5" bestFit="1" customWidth="1"/>
    <col min="1602" max="1602" width="5.83203125" bestFit="1" customWidth="1"/>
    <col min="1603" max="1603" width="8.5" bestFit="1" customWidth="1"/>
    <col min="1604" max="1604" width="5.83203125" bestFit="1" customWidth="1"/>
    <col min="1605" max="1605" width="8.5" bestFit="1" customWidth="1"/>
    <col min="1606" max="1606" width="5.83203125" bestFit="1" customWidth="1"/>
    <col min="1607" max="1607" width="8.5" bestFit="1" customWidth="1"/>
    <col min="1608" max="1608" width="5.83203125" bestFit="1" customWidth="1"/>
    <col min="1609" max="1609" width="8.5" bestFit="1" customWidth="1"/>
    <col min="1610" max="1610" width="5.83203125" bestFit="1" customWidth="1"/>
    <col min="1611" max="1611" width="8.5" bestFit="1" customWidth="1"/>
    <col min="1612" max="1612" width="5.83203125" bestFit="1" customWidth="1"/>
    <col min="1613" max="1613" width="8.5" bestFit="1" customWidth="1"/>
    <col min="1614" max="1614" width="5.83203125" bestFit="1" customWidth="1"/>
    <col min="1615" max="1615" width="8.5" bestFit="1" customWidth="1"/>
    <col min="1616" max="1616" width="5.83203125" bestFit="1" customWidth="1"/>
    <col min="1617" max="1617" width="8.5" bestFit="1" customWidth="1"/>
    <col min="1618" max="1618" width="5.83203125" bestFit="1" customWidth="1"/>
    <col min="1619" max="1619" width="8.5" bestFit="1" customWidth="1"/>
    <col min="1620" max="1620" width="5.83203125" bestFit="1" customWidth="1"/>
    <col min="1621" max="1621" width="8.5" bestFit="1" customWidth="1"/>
    <col min="1622" max="1622" width="5.83203125" bestFit="1" customWidth="1"/>
    <col min="1623" max="1623" width="8.5" bestFit="1" customWidth="1"/>
    <col min="1624" max="1624" width="5.83203125" bestFit="1" customWidth="1"/>
    <col min="1625" max="1625" width="8.5" bestFit="1" customWidth="1"/>
    <col min="1626" max="1626" width="5.83203125" bestFit="1" customWidth="1"/>
    <col min="1627" max="1627" width="8.5" bestFit="1" customWidth="1"/>
    <col min="1628" max="1628" width="5.83203125" bestFit="1" customWidth="1"/>
    <col min="1629" max="1629" width="8.5" bestFit="1" customWidth="1"/>
    <col min="1630" max="1630" width="5.83203125" bestFit="1" customWidth="1"/>
    <col min="1631" max="1631" width="8.5" bestFit="1" customWidth="1"/>
    <col min="1632" max="1632" width="5.83203125" bestFit="1" customWidth="1"/>
    <col min="1633" max="1633" width="8.5" bestFit="1" customWidth="1"/>
    <col min="1634" max="1634" width="5.83203125" bestFit="1" customWidth="1"/>
    <col min="1635" max="1635" width="8.5" bestFit="1" customWidth="1"/>
    <col min="1636" max="1636" width="5.83203125" bestFit="1" customWidth="1"/>
    <col min="1637" max="1637" width="8.5" bestFit="1" customWidth="1"/>
    <col min="1638" max="1638" width="5.83203125" bestFit="1" customWidth="1"/>
    <col min="1639" max="1639" width="8.5" bestFit="1" customWidth="1"/>
    <col min="1640" max="1640" width="5.83203125" bestFit="1" customWidth="1"/>
    <col min="1641" max="1641" width="8.5" bestFit="1" customWidth="1"/>
    <col min="1642" max="1642" width="5.83203125" bestFit="1" customWidth="1"/>
    <col min="1643" max="1643" width="8.5" bestFit="1" customWidth="1"/>
    <col min="1644" max="1644" width="5.83203125" bestFit="1" customWidth="1"/>
    <col min="1645" max="1645" width="8.5" bestFit="1" customWidth="1"/>
    <col min="1646" max="1646" width="5.83203125" bestFit="1" customWidth="1"/>
    <col min="1647" max="1647" width="8.5" bestFit="1" customWidth="1"/>
    <col min="1648" max="1648" width="5.83203125" bestFit="1" customWidth="1"/>
    <col min="1649" max="1649" width="8.5" bestFit="1" customWidth="1"/>
    <col min="1650" max="1650" width="5.83203125" bestFit="1" customWidth="1"/>
    <col min="1651" max="1651" width="8.5" bestFit="1" customWidth="1"/>
    <col min="1652" max="1652" width="5.83203125" bestFit="1" customWidth="1"/>
    <col min="1653" max="1653" width="8.5" bestFit="1" customWidth="1"/>
    <col min="1654" max="1654" width="5.83203125" bestFit="1" customWidth="1"/>
    <col min="1655" max="1655" width="8.5" bestFit="1" customWidth="1"/>
    <col min="1656" max="1656" width="5.83203125" bestFit="1" customWidth="1"/>
    <col min="1657" max="1657" width="8.5" bestFit="1" customWidth="1"/>
    <col min="1658" max="1658" width="5.83203125" bestFit="1" customWidth="1"/>
    <col min="1659" max="1659" width="8.5" bestFit="1" customWidth="1"/>
    <col min="1660" max="1660" width="5.83203125" bestFit="1" customWidth="1"/>
    <col min="1661" max="1661" width="8.5" bestFit="1" customWidth="1"/>
    <col min="1662" max="1662" width="5.83203125" bestFit="1" customWidth="1"/>
    <col min="1663" max="1663" width="8.5" bestFit="1" customWidth="1"/>
    <col min="1664" max="1664" width="5.83203125" bestFit="1" customWidth="1"/>
    <col min="1665" max="1665" width="8.5" bestFit="1" customWidth="1"/>
    <col min="1666" max="1666" width="5.83203125" bestFit="1" customWidth="1"/>
    <col min="1667" max="1667" width="8.5" bestFit="1" customWidth="1"/>
    <col min="1668" max="1668" width="5.83203125" bestFit="1" customWidth="1"/>
    <col min="1669" max="1669" width="8.5" bestFit="1" customWidth="1"/>
    <col min="1670" max="1670" width="5.83203125" bestFit="1" customWidth="1"/>
    <col min="1671" max="1671" width="8.5" bestFit="1" customWidth="1"/>
    <col min="1672" max="1672" width="5.83203125" bestFit="1" customWidth="1"/>
    <col min="1673" max="1673" width="8.5" bestFit="1" customWidth="1"/>
    <col min="1674" max="1674" width="5.83203125" bestFit="1" customWidth="1"/>
    <col min="1675" max="1675" width="8.5" bestFit="1" customWidth="1"/>
    <col min="1676" max="1676" width="5.83203125" bestFit="1" customWidth="1"/>
    <col min="1677" max="1677" width="8.5" bestFit="1" customWidth="1"/>
    <col min="1678" max="1678" width="5.83203125" bestFit="1" customWidth="1"/>
    <col min="1679" max="1679" width="8.5" bestFit="1" customWidth="1"/>
    <col min="1680" max="1680" width="5.83203125" bestFit="1" customWidth="1"/>
    <col min="1681" max="1681" width="8.5" bestFit="1" customWidth="1"/>
    <col min="1682" max="1682" width="5.83203125" bestFit="1" customWidth="1"/>
    <col min="1683" max="1683" width="8.5" bestFit="1" customWidth="1"/>
    <col min="1684" max="1684" width="5.83203125" bestFit="1" customWidth="1"/>
    <col min="1685" max="1685" width="8.5" bestFit="1" customWidth="1"/>
    <col min="1686" max="1686" width="5.83203125" bestFit="1" customWidth="1"/>
    <col min="1687" max="1687" width="8.5" bestFit="1" customWidth="1"/>
    <col min="1688" max="1688" width="5.83203125" bestFit="1" customWidth="1"/>
    <col min="1689" max="1689" width="8.5" bestFit="1" customWidth="1"/>
    <col min="1690" max="1690" width="5.83203125" bestFit="1" customWidth="1"/>
    <col min="1691" max="1691" width="8.5" bestFit="1" customWidth="1"/>
    <col min="1692" max="1692" width="5.83203125" bestFit="1" customWidth="1"/>
    <col min="1693" max="1693" width="8.5" bestFit="1" customWidth="1"/>
    <col min="1694" max="1694" width="5.83203125" bestFit="1" customWidth="1"/>
    <col min="1695" max="1695" width="8.5" bestFit="1" customWidth="1"/>
    <col min="1696" max="1696" width="5.83203125" bestFit="1" customWidth="1"/>
    <col min="1697" max="1697" width="8.5" bestFit="1" customWidth="1"/>
    <col min="1698" max="1698" width="5.83203125" bestFit="1" customWidth="1"/>
    <col min="1699" max="1699" width="8.5" bestFit="1" customWidth="1"/>
    <col min="1700" max="1700" width="5.83203125" bestFit="1" customWidth="1"/>
    <col min="1701" max="1701" width="8.5" bestFit="1" customWidth="1"/>
    <col min="1702" max="1702" width="5.83203125" bestFit="1" customWidth="1"/>
    <col min="1703" max="1703" width="8.5" bestFit="1" customWidth="1"/>
    <col min="1704" max="1704" width="5.83203125" bestFit="1" customWidth="1"/>
    <col min="1705" max="1705" width="8.5" bestFit="1" customWidth="1"/>
    <col min="1706" max="1706" width="5.83203125" bestFit="1" customWidth="1"/>
    <col min="1707" max="1707" width="8.5" bestFit="1" customWidth="1"/>
    <col min="1708" max="1708" width="5.83203125" bestFit="1" customWidth="1"/>
    <col min="1709" max="1709" width="8.5" bestFit="1" customWidth="1"/>
    <col min="1710" max="1710" width="5.83203125" bestFit="1" customWidth="1"/>
    <col min="1711" max="1711" width="8.5" bestFit="1" customWidth="1"/>
    <col min="1712" max="1712" width="5.83203125" bestFit="1" customWidth="1"/>
    <col min="1713" max="1713" width="8.5" bestFit="1" customWidth="1"/>
    <col min="1714" max="1714" width="5.83203125" bestFit="1" customWidth="1"/>
    <col min="1715" max="1715" width="8.5" bestFit="1" customWidth="1"/>
    <col min="1716" max="1716" width="5.83203125" bestFit="1" customWidth="1"/>
    <col min="1717" max="1717" width="8.5" bestFit="1" customWidth="1"/>
    <col min="1718" max="1718" width="5.83203125" bestFit="1" customWidth="1"/>
    <col min="1719" max="1719" width="8.5" bestFit="1" customWidth="1"/>
    <col min="1720" max="1720" width="5.83203125" bestFit="1" customWidth="1"/>
    <col min="1721" max="1721" width="8.5" bestFit="1" customWidth="1"/>
    <col min="1722" max="1722" width="5.83203125" bestFit="1" customWidth="1"/>
    <col min="1723" max="1723" width="8.5" bestFit="1" customWidth="1"/>
    <col min="1724" max="1724" width="5.83203125" bestFit="1" customWidth="1"/>
    <col min="1725" max="1725" width="8.5" bestFit="1" customWidth="1"/>
    <col min="1726" max="1726" width="5.83203125" bestFit="1" customWidth="1"/>
    <col min="1727" max="1727" width="8.5" bestFit="1" customWidth="1"/>
    <col min="1728" max="1728" width="5.83203125" bestFit="1" customWidth="1"/>
    <col min="1729" max="1729" width="8.5" bestFit="1" customWidth="1"/>
    <col min="1730" max="1730" width="5.83203125" bestFit="1" customWidth="1"/>
    <col min="1731" max="1731" width="8.5" bestFit="1" customWidth="1"/>
    <col min="1732" max="1732" width="5.83203125" bestFit="1" customWidth="1"/>
    <col min="1733" max="1733" width="8.5" bestFit="1" customWidth="1"/>
    <col min="1734" max="1734" width="5.83203125" bestFit="1" customWidth="1"/>
    <col min="1735" max="1735" width="8.5" bestFit="1" customWidth="1"/>
    <col min="1736" max="1736" width="5.83203125" bestFit="1" customWidth="1"/>
    <col min="1737" max="1737" width="8.5" bestFit="1" customWidth="1"/>
    <col min="1738" max="1738" width="5.83203125" bestFit="1" customWidth="1"/>
    <col min="1739" max="1739" width="8.5" bestFit="1" customWidth="1"/>
    <col min="1740" max="1740" width="5.83203125" bestFit="1" customWidth="1"/>
    <col min="1741" max="1741" width="8.5" bestFit="1" customWidth="1"/>
    <col min="1742" max="1742" width="5.83203125" bestFit="1" customWidth="1"/>
    <col min="1743" max="1743" width="8.5" bestFit="1" customWidth="1"/>
    <col min="1744" max="1744" width="5.83203125" bestFit="1" customWidth="1"/>
    <col min="1745" max="1745" width="8.5" bestFit="1" customWidth="1"/>
    <col min="1746" max="1746" width="5.83203125" bestFit="1" customWidth="1"/>
    <col min="1747" max="1747" width="8.5" bestFit="1" customWidth="1"/>
    <col min="1748" max="1748" width="5.83203125" bestFit="1" customWidth="1"/>
    <col min="1749" max="1749" width="8.5" bestFit="1" customWidth="1"/>
    <col min="1750" max="1750" width="5.83203125" bestFit="1" customWidth="1"/>
    <col min="1751" max="1751" width="8.5" bestFit="1" customWidth="1"/>
    <col min="1752" max="1752" width="5.83203125" bestFit="1" customWidth="1"/>
    <col min="1753" max="1753" width="8.5" bestFit="1" customWidth="1"/>
    <col min="1754" max="1754" width="5.83203125" bestFit="1" customWidth="1"/>
    <col min="1755" max="1755" width="8.5" bestFit="1" customWidth="1"/>
    <col min="1756" max="1756" width="5.83203125" bestFit="1" customWidth="1"/>
    <col min="1757" max="1757" width="8.5" bestFit="1" customWidth="1"/>
    <col min="1758" max="1758" width="5.83203125" bestFit="1" customWidth="1"/>
    <col min="1759" max="1759" width="8.5" bestFit="1" customWidth="1"/>
    <col min="1760" max="1760" width="5.83203125" bestFit="1" customWidth="1"/>
    <col min="1761" max="1761" width="8.5" bestFit="1" customWidth="1"/>
    <col min="1762" max="1762" width="5.83203125" bestFit="1" customWidth="1"/>
    <col min="1763" max="1763" width="8.5" bestFit="1" customWidth="1"/>
    <col min="1764" max="1764" width="5.83203125" bestFit="1" customWidth="1"/>
    <col min="1765" max="1765" width="8.5" bestFit="1" customWidth="1"/>
    <col min="1766" max="1766" width="5.83203125" bestFit="1" customWidth="1"/>
    <col min="1767" max="1767" width="8.5" bestFit="1" customWidth="1"/>
    <col min="1768" max="1768" width="5.83203125" bestFit="1" customWidth="1"/>
    <col min="1769" max="1769" width="8.5" bestFit="1" customWidth="1"/>
    <col min="1770" max="1770" width="5.83203125" bestFit="1" customWidth="1"/>
    <col min="1771" max="1771" width="8.5" bestFit="1" customWidth="1"/>
    <col min="1772" max="1772" width="5.83203125" bestFit="1" customWidth="1"/>
    <col min="1773" max="1773" width="8.5" bestFit="1" customWidth="1"/>
    <col min="1774" max="1774" width="5.83203125" bestFit="1" customWidth="1"/>
    <col min="1775" max="1775" width="8.5" bestFit="1" customWidth="1"/>
    <col min="1776" max="1776" width="5.83203125" bestFit="1" customWidth="1"/>
    <col min="1777" max="1777" width="8.5" bestFit="1" customWidth="1"/>
    <col min="1778" max="1778" width="5.83203125" bestFit="1" customWidth="1"/>
    <col min="1779" max="1779" width="8.5" bestFit="1" customWidth="1"/>
    <col min="1780" max="1780" width="5.83203125" bestFit="1" customWidth="1"/>
    <col min="1781" max="1781" width="8.5" bestFit="1" customWidth="1"/>
    <col min="1782" max="1782" width="5.83203125" bestFit="1" customWidth="1"/>
    <col min="1783" max="1783" width="8.5" bestFit="1" customWidth="1"/>
    <col min="1784" max="1784" width="5.83203125" bestFit="1" customWidth="1"/>
    <col min="1785" max="1785" width="8.5" bestFit="1" customWidth="1"/>
    <col min="1786" max="1786" width="5.83203125" bestFit="1" customWidth="1"/>
    <col min="1787" max="1787" width="8.5" bestFit="1" customWidth="1"/>
    <col min="1788" max="1788" width="5.83203125" bestFit="1" customWidth="1"/>
    <col min="1789" max="1789" width="8.5" bestFit="1" customWidth="1"/>
    <col min="1790" max="1790" width="5.83203125" bestFit="1" customWidth="1"/>
    <col min="1791" max="1791" width="8.5" bestFit="1" customWidth="1"/>
    <col min="1792" max="1792" width="5.83203125" bestFit="1" customWidth="1"/>
    <col min="1793" max="1793" width="8.5" bestFit="1" customWidth="1"/>
    <col min="1794" max="1794" width="5.83203125" bestFit="1" customWidth="1"/>
    <col min="1795" max="1795" width="8.5" bestFit="1" customWidth="1"/>
    <col min="1796" max="1796" width="5.83203125" bestFit="1" customWidth="1"/>
    <col min="1797" max="1797" width="8.5" bestFit="1" customWidth="1"/>
    <col min="1798" max="1798" width="5.83203125" bestFit="1" customWidth="1"/>
    <col min="1799" max="1799" width="8.5" bestFit="1" customWidth="1"/>
    <col min="1800" max="1800" width="5.83203125" bestFit="1" customWidth="1"/>
    <col min="1801" max="1801" width="8.5" bestFit="1" customWidth="1"/>
    <col min="1802" max="1802" width="5.83203125" bestFit="1" customWidth="1"/>
    <col min="1803" max="1803" width="8.5" bestFit="1" customWidth="1"/>
    <col min="1804" max="1804" width="5.83203125" bestFit="1" customWidth="1"/>
    <col min="1805" max="1805" width="8.5" bestFit="1" customWidth="1"/>
    <col min="1806" max="1806" width="5.83203125" bestFit="1" customWidth="1"/>
    <col min="1807" max="1807" width="8.5" bestFit="1" customWidth="1"/>
    <col min="1808" max="1808" width="5.83203125" bestFit="1" customWidth="1"/>
    <col min="1809" max="1809" width="8.5" bestFit="1" customWidth="1"/>
    <col min="1810" max="1810" width="5.83203125" bestFit="1" customWidth="1"/>
    <col min="1811" max="1811" width="8.5" bestFit="1" customWidth="1"/>
    <col min="1812" max="1812" width="5.83203125" bestFit="1" customWidth="1"/>
    <col min="1813" max="1813" width="8.5" bestFit="1" customWidth="1"/>
    <col min="1814" max="1814" width="5.83203125" bestFit="1" customWidth="1"/>
    <col min="1815" max="1815" width="8.5" bestFit="1" customWidth="1"/>
    <col min="1816" max="1816" width="5.83203125" bestFit="1" customWidth="1"/>
    <col min="1817" max="1817" width="8.5" bestFit="1" customWidth="1"/>
    <col min="1818" max="1818" width="5.83203125" bestFit="1" customWidth="1"/>
    <col min="1819" max="1819" width="8.5" bestFit="1" customWidth="1"/>
    <col min="1820" max="1820" width="5.83203125" bestFit="1" customWidth="1"/>
    <col min="1821" max="1821" width="8.5" bestFit="1" customWidth="1"/>
    <col min="1822" max="1822" width="5.83203125" bestFit="1" customWidth="1"/>
    <col min="1823" max="1823" width="8.5" bestFit="1" customWidth="1"/>
    <col min="1824" max="1824" width="5.83203125" bestFit="1" customWidth="1"/>
    <col min="1825" max="1825" width="8.5" bestFit="1" customWidth="1"/>
    <col min="1826" max="1826" width="5.83203125" bestFit="1" customWidth="1"/>
    <col min="1827" max="1827" width="8.5" bestFit="1" customWidth="1"/>
    <col min="1828" max="1828" width="5.83203125" bestFit="1" customWidth="1"/>
    <col min="1829" max="1829" width="8.5" bestFit="1" customWidth="1"/>
    <col min="1830" max="1830" width="5.83203125" bestFit="1" customWidth="1"/>
    <col min="1831" max="1831" width="8.5" bestFit="1" customWidth="1"/>
    <col min="1832" max="1832" width="5.83203125" bestFit="1" customWidth="1"/>
    <col min="1833" max="1833" width="8.5" bestFit="1" customWidth="1"/>
    <col min="1834" max="1834" width="5.83203125" bestFit="1" customWidth="1"/>
    <col min="1835" max="1835" width="8.5" bestFit="1" customWidth="1"/>
    <col min="1836" max="1836" width="5.83203125" bestFit="1" customWidth="1"/>
    <col min="1837" max="1837" width="8.5" bestFit="1" customWidth="1"/>
    <col min="1838" max="1838" width="5.83203125" bestFit="1" customWidth="1"/>
    <col min="1839" max="1839" width="8.5" bestFit="1" customWidth="1"/>
    <col min="1840" max="1840" width="5.83203125" bestFit="1" customWidth="1"/>
    <col min="1841" max="1841" width="8.5" bestFit="1" customWidth="1"/>
    <col min="1842" max="1842" width="5.83203125" bestFit="1" customWidth="1"/>
    <col min="1843" max="1843" width="8.5" bestFit="1" customWidth="1"/>
    <col min="1844" max="1844" width="5.83203125" bestFit="1" customWidth="1"/>
    <col min="1845" max="1845" width="8.5" bestFit="1" customWidth="1"/>
    <col min="1846" max="1846" width="5.83203125" bestFit="1" customWidth="1"/>
    <col min="1847" max="1847" width="8.5" bestFit="1" customWidth="1"/>
    <col min="1848" max="1848" width="5.83203125" bestFit="1" customWidth="1"/>
    <col min="1849" max="1849" width="8.5" bestFit="1" customWidth="1"/>
    <col min="1850" max="1850" width="5.83203125" bestFit="1" customWidth="1"/>
    <col min="1851" max="1851" width="8.5" bestFit="1" customWidth="1"/>
    <col min="1852" max="1852" width="5.83203125" bestFit="1" customWidth="1"/>
    <col min="1853" max="1853" width="8.5" bestFit="1" customWidth="1"/>
    <col min="1854" max="1854" width="5.83203125" bestFit="1" customWidth="1"/>
    <col min="1855" max="1855" width="8.5" bestFit="1" customWidth="1"/>
    <col min="1856" max="1856" width="5.83203125" bestFit="1" customWidth="1"/>
    <col min="1857" max="1857" width="8.5" bestFit="1" customWidth="1"/>
    <col min="1858" max="1858" width="5.83203125" bestFit="1" customWidth="1"/>
    <col min="1859" max="1859" width="8.5" bestFit="1" customWidth="1"/>
    <col min="1860" max="1860" width="5.83203125" bestFit="1" customWidth="1"/>
    <col min="1861" max="1861" width="8.5" bestFit="1" customWidth="1"/>
    <col min="1862" max="1862" width="5.83203125" bestFit="1" customWidth="1"/>
    <col min="1863" max="1863" width="8.5" bestFit="1" customWidth="1"/>
    <col min="1864" max="1864" width="5.83203125" bestFit="1" customWidth="1"/>
    <col min="1865" max="1865" width="8.5" bestFit="1" customWidth="1"/>
    <col min="1866" max="1866" width="5.83203125" bestFit="1" customWidth="1"/>
    <col min="1867" max="1867" width="8.5" bestFit="1" customWidth="1"/>
    <col min="1868" max="1868" width="5.83203125" bestFit="1" customWidth="1"/>
    <col min="1869" max="1869" width="8.5" bestFit="1" customWidth="1"/>
    <col min="1870" max="1870" width="5.83203125" bestFit="1" customWidth="1"/>
    <col min="1871" max="1871" width="8.5" bestFit="1" customWidth="1"/>
    <col min="1872" max="1872" width="5.83203125" bestFit="1" customWidth="1"/>
    <col min="1873" max="1873" width="8.5" bestFit="1" customWidth="1"/>
    <col min="1874" max="1874" width="5.83203125" bestFit="1" customWidth="1"/>
    <col min="1875" max="1875" width="8.5" bestFit="1" customWidth="1"/>
    <col min="1876" max="1876" width="5.83203125" bestFit="1" customWidth="1"/>
    <col min="1877" max="1877" width="8.5" bestFit="1" customWidth="1"/>
    <col min="1878" max="1878" width="5.83203125" bestFit="1" customWidth="1"/>
    <col min="1879" max="1879" width="8.5" bestFit="1" customWidth="1"/>
    <col min="1880" max="1880" width="5.83203125" bestFit="1" customWidth="1"/>
    <col min="1881" max="1881" width="8.5" bestFit="1" customWidth="1"/>
    <col min="1882" max="1882" width="5.83203125" bestFit="1" customWidth="1"/>
    <col min="1883" max="1883" width="8.5" bestFit="1" customWidth="1"/>
    <col min="1884" max="1884" width="5.83203125" bestFit="1" customWidth="1"/>
    <col min="1885" max="1885" width="8.5" bestFit="1" customWidth="1"/>
    <col min="1886" max="1886" width="5.83203125" bestFit="1" customWidth="1"/>
    <col min="1887" max="1887" width="8.5" bestFit="1" customWidth="1"/>
    <col min="1888" max="1888" width="5.83203125" bestFit="1" customWidth="1"/>
    <col min="1889" max="1889" width="8.5" bestFit="1" customWidth="1"/>
    <col min="1890" max="1890" width="5.83203125" bestFit="1" customWidth="1"/>
    <col min="1891" max="1891" width="8.5" bestFit="1" customWidth="1"/>
    <col min="1892" max="1892" width="5.83203125" bestFit="1" customWidth="1"/>
    <col min="1893" max="1893" width="8.5" bestFit="1" customWidth="1"/>
    <col min="1894" max="1894" width="5.83203125" bestFit="1" customWidth="1"/>
    <col min="1895" max="1895" width="8.5" bestFit="1" customWidth="1"/>
    <col min="1896" max="1896" width="5.83203125" bestFit="1" customWidth="1"/>
    <col min="1897" max="1897" width="8.5" bestFit="1" customWidth="1"/>
    <col min="1898" max="1898" width="5.83203125" bestFit="1" customWidth="1"/>
    <col min="1899" max="1899" width="8.5" bestFit="1" customWidth="1"/>
    <col min="1900" max="1900" width="5.83203125" bestFit="1" customWidth="1"/>
    <col min="1901" max="1901" width="8.5" bestFit="1" customWidth="1"/>
    <col min="1902" max="1902" width="5.83203125" bestFit="1" customWidth="1"/>
    <col min="1903" max="1903" width="8.5" bestFit="1" customWidth="1"/>
    <col min="1904" max="1904" width="5.83203125" bestFit="1" customWidth="1"/>
    <col min="1905" max="1905" width="8.5" bestFit="1" customWidth="1"/>
    <col min="1906" max="1906" width="5.83203125" bestFit="1" customWidth="1"/>
    <col min="1907" max="1907" width="8.5" bestFit="1" customWidth="1"/>
    <col min="1908" max="1908" width="5.83203125" bestFit="1" customWidth="1"/>
    <col min="1909" max="1909" width="8.5" bestFit="1" customWidth="1"/>
    <col min="1910" max="1910" width="5.83203125" bestFit="1" customWidth="1"/>
    <col min="1911" max="1911" width="8.5" bestFit="1" customWidth="1"/>
    <col min="1912" max="1912" width="5.83203125" bestFit="1" customWidth="1"/>
    <col min="1913" max="1913" width="8.5" bestFit="1" customWidth="1"/>
    <col min="1914" max="1914" width="5.83203125" bestFit="1" customWidth="1"/>
    <col min="1915" max="1915" width="8.5" bestFit="1" customWidth="1"/>
    <col min="1916" max="1916" width="5.83203125" bestFit="1" customWidth="1"/>
    <col min="1917" max="1917" width="8.5" bestFit="1" customWidth="1"/>
    <col min="1918" max="1918" width="5.83203125" bestFit="1" customWidth="1"/>
    <col min="1919" max="1919" width="8.5" bestFit="1" customWidth="1"/>
    <col min="1920" max="1920" width="5.83203125" bestFit="1" customWidth="1"/>
    <col min="1921" max="1921" width="8.5" bestFit="1" customWidth="1"/>
    <col min="1922" max="1922" width="5.83203125" bestFit="1" customWidth="1"/>
    <col min="1923" max="1923" width="8.5" bestFit="1" customWidth="1"/>
    <col min="1924" max="1924" width="5.83203125" bestFit="1" customWidth="1"/>
    <col min="1925" max="1925" width="8.5" bestFit="1" customWidth="1"/>
    <col min="1926" max="1926" width="5.83203125" bestFit="1" customWidth="1"/>
    <col min="1927" max="1927" width="8.5" bestFit="1" customWidth="1"/>
    <col min="1928" max="1928" width="5.83203125" bestFit="1" customWidth="1"/>
    <col min="1929" max="1929" width="8.5" bestFit="1" customWidth="1"/>
    <col min="1930" max="1930" width="5.83203125" bestFit="1" customWidth="1"/>
    <col min="1931" max="1931" width="8.5" bestFit="1" customWidth="1"/>
    <col min="1932" max="1932" width="5.83203125" bestFit="1" customWidth="1"/>
    <col min="1933" max="1933" width="8.5" bestFit="1" customWidth="1"/>
    <col min="1934" max="1934" width="5.83203125" bestFit="1" customWidth="1"/>
    <col min="1935" max="1935" width="8.5" bestFit="1" customWidth="1"/>
    <col min="1936" max="1936" width="5.83203125" bestFit="1" customWidth="1"/>
    <col min="1937" max="1937" width="8.5" bestFit="1" customWidth="1"/>
    <col min="1938" max="1938" width="5.83203125" bestFit="1" customWidth="1"/>
    <col min="1939" max="1939" width="8.5" bestFit="1" customWidth="1"/>
    <col min="1940" max="1940" width="5.83203125" bestFit="1" customWidth="1"/>
    <col min="1941" max="1941" width="8.5" bestFit="1" customWidth="1"/>
    <col min="1942" max="1942" width="5.83203125" bestFit="1" customWidth="1"/>
    <col min="1943" max="1943" width="8.5" bestFit="1" customWidth="1"/>
    <col min="1944" max="1944" width="5.83203125" bestFit="1" customWidth="1"/>
    <col min="1945" max="1945" width="8.5" bestFit="1" customWidth="1"/>
    <col min="1946" max="1946" width="5.83203125" bestFit="1" customWidth="1"/>
    <col min="1947" max="1947" width="8.5" bestFit="1" customWidth="1"/>
    <col min="1948" max="1948" width="5.83203125" bestFit="1" customWidth="1"/>
    <col min="1949" max="1949" width="8.5" bestFit="1" customWidth="1"/>
    <col min="1950" max="1950" width="5.83203125" bestFit="1" customWidth="1"/>
    <col min="1951" max="1951" width="8.5" bestFit="1" customWidth="1"/>
    <col min="1952" max="1952" width="5.83203125" bestFit="1" customWidth="1"/>
    <col min="1953" max="1953" width="8.5" bestFit="1" customWidth="1"/>
    <col min="1954" max="1954" width="5.83203125" bestFit="1" customWidth="1"/>
    <col min="1955" max="1955" width="8.5" bestFit="1" customWidth="1"/>
    <col min="1956" max="1956" width="5.83203125" bestFit="1" customWidth="1"/>
    <col min="1957" max="1957" width="8.5" bestFit="1" customWidth="1"/>
    <col min="1958" max="1958" width="5.83203125" bestFit="1" customWidth="1"/>
    <col min="1959" max="1959" width="8.5" bestFit="1" customWidth="1"/>
    <col min="1960" max="1960" width="5.83203125" bestFit="1" customWidth="1"/>
    <col min="1961" max="1961" width="8.5" bestFit="1" customWidth="1"/>
    <col min="1962" max="1962" width="5.83203125" bestFit="1" customWidth="1"/>
    <col min="1963" max="1963" width="8.5" bestFit="1" customWidth="1"/>
    <col min="1964" max="1964" width="5.83203125" bestFit="1" customWidth="1"/>
    <col min="1965" max="1965" width="8.5" bestFit="1" customWidth="1"/>
    <col min="1966" max="1966" width="5.83203125" bestFit="1" customWidth="1"/>
    <col min="1967" max="1967" width="8.5" bestFit="1" customWidth="1"/>
    <col min="1968" max="1968" width="5.83203125" bestFit="1" customWidth="1"/>
    <col min="1969" max="1969" width="8.5" bestFit="1" customWidth="1"/>
    <col min="1970" max="1970" width="5.83203125" bestFit="1" customWidth="1"/>
    <col min="1971" max="1971" width="8.5" bestFit="1" customWidth="1"/>
    <col min="1972" max="1972" width="5.83203125" bestFit="1" customWidth="1"/>
    <col min="1973" max="1973" width="8.5" bestFit="1" customWidth="1"/>
    <col min="1974" max="1974" width="5.83203125" bestFit="1" customWidth="1"/>
    <col min="1975" max="1975" width="8.5" bestFit="1" customWidth="1"/>
    <col min="1976" max="1976" width="5.83203125" bestFit="1" customWidth="1"/>
    <col min="1977" max="1977" width="8.5" bestFit="1" customWidth="1"/>
    <col min="1978" max="1978" width="5.83203125" bestFit="1" customWidth="1"/>
    <col min="1979" max="1979" width="8.5" bestFit="1" customWidth="1"/>
    <col min="1980" max="1980" width="5.83203125" bestFit="1" customWidth="1"/>
    <col min="1981" max="1981" width="8.5" bestFit="1" customWidth="1"/>
    <col min="1982" max="1982" width="5.83203125" bestFit="1" customWidth="1"/>
    <col min="1983" max="1983" width="8.5" bestFit="1" customWidth="1"/>
    <col min="1984" max="1984" width="5.83203125" bestFit="1" customWidth="1"/>
    <col min="1985" max="1985" width="8.5" bestFit="1" customWidth="1"/>
    <col min="1986" max="1986" width="5.83203125" bestFit="1" customWidth="1"/>
    <col min="1987" max="1987" width="8.5" bestFit="1" customWidth="1"/>
    <col min="1988" max="1988" width="5.83203125" bestFit="1" customWidth="1"/>
    <col min="1989" max="1989" width="8.5" bestFit="1" customWidth="1"/>
    <col min="1990" max="1990" width="5.83203125" bestFit="1" customWidth="1"/>
    <col min="1991" max="1991" width="8.5" bestFit="1" customWidth="1"/>
    <col min="1992" max="1992" width="5.83203125" bestFit="1" customWidth="1"/>
    <col min="1993" max="1993" width="8.5" bestFit="1" customWidth="1"/>
    <col min="1994" max="1994" width="5.83203125" bestFit="1" customWidth="1"/>
    <col min="1995" max="1995" width="8.5" bestFit="1" customWidth="1"/>
    <col min="1996" max="1996" width="5.83203125" bestFit="1" customWidth="1"/>
    <col min="1997" max="1997" width="8.5" bestFit="1" customWidth="1"/>
    <col min="1998" max="1998" width="5.83203125" bestFit="1" customWidth="1"/>
    <col min="1999" max="1999" width="8.5" bestFit="1" customWidth="1"/>
    <col min="2000" max="2000" width="5.83203125" bestFit="1" customWidth="1"/>
    <col min="2001" max="2001" width="8.5" bestFit="1" customWidth="1"/>
    <col min="2002" max="2002" width="5.83203125" bestFit="1" customWidth="1"/>
    <col min="2003" max="2003" width="8.5" bestFit="1" customWidth="1"/>
    <col min="2004" max="2004" width="5.83203125" bestFit="1" customWidth="1"/>
    <col min="2005" max="2005" width="8.5" bestFit="1" customWidth="1"/>
    <col min="2006" max="2006" width="6.83203125" bestFit="1" customWidth="1"/>
    <col min="2007" max="2007" width="9.5" bestFit="1" customWidth="1"/>
    <col min="2008" max="2008" width="10.5" bestFit="1" customWidth="1"/>
  </cols>
  <sheetData>
    <row r="2" spans="2:5" ht="16" customHeight="1"/>
    <row r="3" spans="2:5" ht="16" customHeight="1"/>
    <row r="5" spans="2:5">
      <c r="B5" s="4" t="s">
        <v>1014</v>
      </c>
      <c r="C5" s="4" t="s">
        <v>1017</v>
      </c>
    </row>
    <row r="6" spans="2:5">
      <c r="B6" s="4" t="s">
        <v>1015</v>
      </c>
      <c r="C6" t="s">
        <v>13</v>
      </c>
      <c r="D6" t="s">
        <v>10</v>
      </c>
      <c r="E6" t="s">
        <v>1016</v>
      </c>
    </row>
    <row r="7" spans="2:5">
      <c r="B7" s="5" t="s">
        <v>1019</v>
      </c>
      <c r="C7" s="6">
        <v>35920</v>
      </c>
      <c r="D7" s="6">
        <v>38730</v>
      </c>
      <c r="E7" s="6">
        <v>74650</v>
      </c>
    </row>
    <row r="8" spans="2:5">
      <c r="B8" s="5" t="s">
        <v>1020</v>
      </c>
      <c r="C8" s="6">
        <v>51850</v>
      </c>
      <c r="D8" s="6">
        <v>45240</v>
      </c>
      <c r="E8" s="6">
        <v>97090</v>
      </c>
    </row>
    <row r="9" spans="2:5">
      <c r="B9" s="5" t="s">
        <v>1021</v>
      </c>
      <c r="C9" s="6">
        <v>52965</v>
      </c>
      <c r="D9" s="6">
        <v>43870</v>
      </c>
      <c r="E9" s="6">
        <v>96835</v>
      </c>
    </row>
    <row r="10" spans="2:5">
      <c r="B10" s="5" t="s">
        <v>1046</v>
      </c>
      <c r="C10" s="6">
        <v>46825</v>
      </c>
      <c r="D10" s="6">
        <v>50410</v>
      </c>
      <c r="E10" s="6">
        <v>97235</v>
      </c>
    </row>
    <row r="11" spans="2:5">
      <c r="B11" s="5" t="s">
        <v>1047</v>
      </c>
      <c r="C11" s="6">
        <v>45280</v>
      </c>
      <c r="D11" s="6">
        <v>44910</v>
      </c>
      <c r="E11" s="6">
        <v>90190</v>
      </c>
    </row>
    <row r="12" spans="2:5">
      <c r="B12" s="5" t="s">
        <v>1016</v>
      </c>
      <c r="C12" s="6">
        <v>232840</v>
      </c>
      <c r="D12" s="6">
        <v>223160</v>
      </c>
      <c r="E12" s="6">
        <v>456000</v>
      </c>
    </row>
    <row r="19" spans="2:3">
      <c r="B19" s="4" t="s">
        <v>1015</v>
      </c>
      <c r="C19" t="s">
        <v>1014</v>
      </c>
    </row>
    <row r="20" spans="2:3">
      <c r="B20" s="5" t="s">
        <v>1022</v>
      </c>
      <c r="C20" s="6">
        <v>36980</v>
      </c>
    </row>
    <row r="21" spans="2:3">
      <c r="B21" s="5" t="s">
        <v>1023</v>
      </c>
      <c r="C21" s="6">
        <v>44060</v>
      </c>
    </row>
    <row r="22" spans="2:3">
      <c r="B22" s="5" t="s">
        <v>1024</v>
      </c>
      <c r="C22" s="6">
        <v>28990</v>
      </c>
    </row>
    <row r="23" spans="2:3">
      <c r="B23" s="5" t="s">
        <v>1025</v>
      </c>
      <c r="C23" s="6">
        <v>33870</v>
      </c>
    </row>
    <row r="24" spans="2:3">
      <c r="B24" s="5" t="s">
        <v>1026</v>
      </c>
      <c r="C24" s="6">
        <v>53150</v>
      </c>
    </row>
    <row r="25" spans="2:3">
      <c r="B25" s="5" t="s">
        <v>1027</v>
      </c>
      <c r="C25" s="6">
        <v>36715</v>
      </c>
    </row>
    <row r="26" spans="2:3">
      <c r="B26" s="5" t="s">
        <v>1028</v>
      </c>
      <c r="C26" s="6">
        <v>35465</v>
      </c>
    </row>
    <row r="27" spans="2:3">
      <c r="B27" s="5" t="s">
        <v>1029</v>
      </c>
      <c r="C27" s="6">
        <v>36960</v>
      </c>
    </row>
    <row r="28" spans="2:3">
      <c r="B28" s="5" t="s">
        <v>1030</v>
      </c>
      <c r="C28" s="6">
        <v>23620</v>
      </c>
    </row>
    <row r="29" spans="2:3">
      <c r="B29" s="5" t="s">
        <v>1031</v>
      </c>
      <c r="C29" s="6">
        <v>46580</v>
      </c>
    </row>
    <row r="30" spans="2:3">
      <c r="B30" s="5" t="s">
        <v>1032</v>
      </c>
      <c r="C30" s="6">
        <v>34920</v>
      </c>
    </row>
    <row r="31" spans="2:3">
      <c r="B31" s="5" t="s">
        <v>1033</v>
      </c>
      <c r="C31" s="6">
        <v>44690</v>
      </c>
    </row>
    <row r="32" spans="2:3">
      <c r="B32" s="5" t="s">
        <v>1016</v>
      </c>
      <c r="C32" s="6">
        <v>456000</v>
      </c>
    </row>
    <row r="38" spans="2:3">
      <c r="B38" s="4" t="s">
        <v>1015</v>
      </c>
      <c r="C38" t="s">
        <v>1014</v>
      </c>
    </row>
    <row r="39" spans="2:3">
      <c r="B39" s="5" t="s">
        <v>16</v>
      </c>
      <c r="C39" s="6">
        <v>156905</v>
      </c>
    </row>
    <row r="40" spans="2:3">
      <c r="B40" s="5" t="s">
        <v>14</v>
      </c>
      <c r="C40" s="6">
        <v>155580</v>
      </c>
    </row>
    <row r="41" spans="2:3">
      <c r="B41" s="5" t="s">
        <v>11</v>
      </c>
      <c r="C41" s="6">
        <v>143515</v>
      </c>
    </row>
    <row r="42" spans="2:3">
      <c r="B42" s="5" t="s">
        <v>1016</v>
      </c>
      <c r="C42" s="6">
        <v>456000</v>
      </c>
    </row>
    <row r="53" spans="2:6">
      <c r="B53" s="4" t="s">
        <v>1014</v>
      </c>
      <c r="C53" s="4" t="s">
        <v>1017</v>
      </c>
    </row>
    <row r="54" spans="2:6">
      <c r="B54" s="4" t="s">
        <v>1015</v>
      </c>
      <c r="C54" t="s">
        <v>11</v>
      </c>
      <c r="D54" t="s">
        <v>14</v>
      </c>
      <c r="E54" t="s">
        <v>16</v>
      </c>
      <c r="F54" t="s">
        <v>1016</v>
      </c>
    </row>
    <row r="55" spans="2:6">
      <c r="B55" s="5" t="s">
        <v>1019</v>
      </c>
      <c r="C55" s="6">
        <v>28905</v>
      </c>
      <c r="D55" s="6">
        <v>22160</v>
      </c>
      <c r="E55" s="6">
        <v>23585</v>
      </c>
      <c r="F55" s="6">
        <v>74650</v>
      </c>
    </row>
    <row r="56" spans="2:6">
      <c r="B56" s="5" t="s">
        <v>1020</v>
      </c>
      <c r="C56" s="6">
        <v>28540</v>
      </c>
      <c r="D56" s="6">
        <v>41640</v>
      </c>
      <c r="E56" s="6">
        <v>26910</v>
      </c>
      <c r="F56" s="6">
        <v>97090</v>
      </c>
    </row>
    <row r="57" spans="2:6">
      <c r="B57" s="5" t="s">
        <v>1021</v>
      </c>
      <c r="C57" s="6">
        <v>29450</v>
      </c>
      <c r="D57" s="6">
        <v>30925</v>
      </c>
      <c r="E57" s="6">
        <v>36460</v>
      </c>
      <c r="F57" s="6">
        <v>96835</v>
      </c>
    </row>
    <row r="58" spans="2:6">
      <c r="B58" s="5" t="s">
        <v>1046</v>
      </c>
      <c r="C58" s="6">
        <v>35950</v>
      </c>
      <c r="D58" s="6">
        <v>29545</v>
      </c>
      <c r="E58" s="6">
        <v>31740</v>
      </c>
      <c r="F58" s="6">
        <v>97235</v>
      </c>
    </row>
    <row r="59" spans="2:6">
      <c r="B59" s="5" t="s">
        <v>1047</v>
      </c>
      <c r="C59" s="6">
        <v>20670</v>
      </c>
      <c r="D59" s="6">
        <v>31310</v>
      </c>
      <c r="E59" s="6">
        <v>38210</v>
      </c>
      <c r="F59" s="6">
        <v>90190</v>
      </c>
    </row>
    <row r="60" spans="2:6">
      <c r="B60" s="5" t="s">
        <v>1016</v>
      </c>
      <c r="C60" s="6">
        <v>143515</v>
      </c>
      <c r="D60" s="6">
        <v>155580</v>
      </c>
      <c r="E60" s="6">
        <v>156905</v>
      </c>
      <c r="F60" s="6">
        <v>456000</v>
      </c>
    </row>
    <row r="69" spans="2:6">
      <c r="B69" s="4" t="s">
        <v>1014</v>
      </c>
      <c r="C69" s="4" t="s">
        <v>1017</v>
      </c>
    </row>
    <row r="70" spans="2:6">
      <c r="B70" s="4" t="s">
        <v>1015</v>
      </c>
      <c r="C70" t="s">
        <v>11</v>
      </c>
      <c r="D70" t="s">
        <v>14</v>
      </c>
      <c r="E70" t="s">
        <v>16</v>
      </c>
      <c r="F70" t="s">
        <v>1016</v>
      </c>
    </row>
    <row r="71" spans="2:6">
      <c r="B71" s="5" t="s">
        <v>1041</v>
      </c>
      <c r="C71" s="6">
        <v>40365</v>
      </c>
      <c r="D71" s="6">
        <v>39755</v>
      </c>
      <c r="E71" s="6">
        <v>45610</v>
      </c>
      <c r="F71" s="6">
        <v>125730</v>
      </c>
    </row>
    <row r="72" spans="2:6">
      <c r="B72" s="5" t="s">
        <v>1039</v>
      </c>
      <c r="C72" s="6">
        <v>34900</v>
      </c>
      <c r="D72" s="6">
        <v>46460</v>
      </c>
      <c r="E72" s="6">
        <v>34650</v>
      </c>
      <c r="F72" s="6">
        <v>116010</v>
      </c>
    </row>
    <row r="73" spans="2:6">
      <c r="B73" s="5" t="s">
        <v>1040</v>
      </c>
      <c r="C73" s="6">
        <v>36875</v>
      </c>
      <c r="D73" s="6">
        <v>30875</v>
      </c>
      <c r="E73" s="6">
        <v>41390</v>
      </c>
      <c r="F73" s="6">
        <v>109140</v>
      </c>
    </row>
    <row r="74" spans="2:6">
      <c r="B74" s="5" t="s">
        <v>1038</v>
      </c>
      <c r="C74" s="6">
        <v>31375</v>
      </c>
      <c r="D74" s="6">
        <v>38490</v>
      </c>
      <c r="E74" s="6">
        <v>35255</v>
      </c>
      <c r="F74" s="6">
        <v>105120</v>
      </c>
    </row>
    <row r="75" spans="2:6">
      <c r="B75" s="5" t="s">
        <v>1016</v>
      </c>
      <c r="C75" s="6">
        <v>143515</v>
      </c>
      <c r="D75" s="6">
        <v>155580</v>
      </c>
      <c r="E75" s="6">
        <v>156905</v>
      </c>
      <c r="F75" s="6">
        <v>456000</v>
      </c>
    </row>
    <row r="91" spans="2:11">
      <c r="B91" t="s">
        <v>1042</v>
      </c>
      <c r="C91" s="12">
        <f>GETPIVOTDATA("Sum of Total Amount",$H$91)</f>
        <v>456000</v>
      </c>
      <c r="H91" t="s">
        <v>1014</v>
      </c>
      <c r="I91" t="s">
        <v>1034</v>
      </c>
      <c r="J91" t="s">
        <v>1035</v>
      </c>
      <c r="K91" t="s">
        <v>1036</v>
      </c>
    </row>
    <row r="92" spans="2:11">
      <c r="B92" t="s">
        <v>1043</v>
      </c>
      <c r="C92">
        <f>GETPIVOTDATA("Count of Transaction ID",$H$91)</f>
        <v>1000</v>
      </c>
      <c r="H92" s="3">
        <v>456000</v>
      </c>
      <c r="I92" s="2">
        <v>2514</v>
      </c>
      <c r="J92" s="2">
        <v>1000</v>
      </c>
      <c r="K92" s="2">
        <v>1000</v>
      </c>
    </row>
    <row r="93" spans="2:11">
      <c r="B93" t="s">
        <v>1044</v>
      </c>
      <c r="C93" s="13">
        <f>GETPIVOTDATA("Sum of Quantity",$H$91) / GETPIVOTDATA("Count of Transaction ID",$H$91)</f>
        <v>2.5139999999999998</v>
      </c>
    </row>
    <row r="94" spans="2:11">
      <c r="B94" t="s">
        <v>1045</v>
      </c>
      <c r="C94" t="str">
        <f>INDEX(B37:B39, MATCH(MAX(C37:C39), C37:C39, 0))</f>
        <v>Electronics</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9969E-30DE-9645-AB21-061EBB1E516D}">
  <dimension ref="Q9:Y57"/>
  <sheetViews>
    <sheetView showGridLines="0" tabSelected="1" zoomScale="59" zoomScaleNormal="53" zoomScaleSheetLayoutView="70" workbookViewId="0">
      <selection activeCell="X46" sqref="X46"/>
      <extLst>
        <ext xmlns:xlsdti="http://schemas.microsoft.com/office/spreadsheetml/2023/showDataTypeIcons" uri="{77bfe23e-c014-4d31-8a63-9c772dbf06b6}">
          <xlsdti:showDataTypeIcons visible="0"/>
        </ext>
      </extLst>
    </sheetView>
  </sheetViews>
  <sheetFormatPr defaultColWidth="10.6640625" defaultRowHeight="16"/>
  <sheetData>
    <row r="9" spans="18:25" ht="21">
      <c r="R9" s="11"/>
    </row>
    <row r="15" spans="18:25">
      <c r="Y15" s="12"/>
    </row>
    <row r="17" spans="25:25">
      <c r="Y17" s="13"/>
    </row>
    <row r="18" spans="25:25">
      <c r="Y18" s="12"/>
    </row>
    <row r="38" spans="17:18">
      <c r="R38" s="7"/>
    </row>
    <row r="39" spans="17:18">
      <c r="Q39" s="7"/>
      <c r="R39" s="7"/>
    </row>
    <row r="40" spans="17:18">
      <c r="Q40" s="7"/>
      <c r="R40" s="8"/>
    </row>
    <row r="41" spans="17:18">
      <c r="Q41" s="7"/>
      <c r="R41" s="7"/>
    </row>
    <row r="42" spans="17:18">
      <c r="Q42" s="7"/>
      <c r="R42" s="9"/>
    </row>
    <row r="43" spans="17:18">
      <c r="Q43" s="7"/>
      <c r="R43" s="8"/>
    </row>
    <row r="44" spans="17:18">
      <c r="Q44" s="7"/>
      <c r="R44" s="10"/>
    </row>
    <row r="45" spans="17:18">
      <c r="Q45" s="7"/>
      <c r="R45" s="7"/>
    </row>
    <row r="57" spans="21:22" ht="17.5">
      <c r="U57" s="14"/>
      <c r="V57" s="14"/>
    </row>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7465526-7F21-A443-B035-7F9DF113B5A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retail_sales_raw</vt:lpstr>
      <vt:lpstr>Dataset</vt:lpstr>
      <vt:lpstr>Pivot Table</vt:lpstr>
      <vt:lpstr>Dashboard</vt:lpstr>
      <vt:lpstr>avg_basket_size</vt:lpstr>
      <vt:lpstr>retail_sales_raw_dataset</vt:lpstr>
      <vt:lpstr>retail_sales_raw_table</vt:lpstr>
      <vt:lpstr>top_category</vt:lpstr>
      <vt:lpstr>total_sales</vt:lpstr>
      <vt:lpstr>total_transactions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buse simsek</dc:creator>
  <cp:lastModifiedBy>ANANYA SHARMA</cp:lastModifiedBy>
  <dcterms:created xsi:type="dcterms:W3CDTF">2025-07-02T20:11:25Z</dcterms:created>
  <dcterms:modified xsi:type="dcterms:W3CDTF">2026-07-03T11:29:51Z</dcterms:modified>
</cp:coreProperties>
</file>